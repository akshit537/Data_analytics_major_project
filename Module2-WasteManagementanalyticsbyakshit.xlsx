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akshi\Downloads\"/>
    </mc:Choice>
  </mc:AlternateContent>
  <xr:revisionPtr revIDLastSave="0" documentId="8_{53A9E66C-8C46-4FA7-A030-CF91E4785DBC}" xr6:coauthVersionLast="47" xr6:coauthVersionMax="47" xr10:uidLastSave="{00000000-0000-0000-0000-000000000000}"/>
  <bookViews>
    <workbookView xWindow="-108" yWindow="-108" windowWidth="23256" windowHeight="13176" activeTab="2" xr2:uid="{00000000-000D-0000-FFFF-FFFF00000000}"/>
  </bookViews>
  <sheets>
    <sheet name="Sheet1" sheetId="1" r:id="rId1"/>
    <sheet name="Sheet2" sheetId="2" r:id="rId2"/>
    <sheet name="Sheet3" sheetId="3" r:id="rId3"/>
  </sheets>
  <definedNames>
    <definedName name="Slicer_Collection_Status">#N/A</definedName>
    <definedName name="Slicer_Location">#N/A</definedName>
    <definedName name="Slicer_Truck_ID">#N/A</definedName>
    <definedName name="Slicer_Waste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10" i="3" l="1"/>
  <c r="F203" i="1" a="1"/>
  <c r="C204" i="1"/>
  <c r="Y10" i="3"/>
  <c r="C203" i="1" a="1"/>
  <c r="O10" i="3"/>
  <c r="H10" i="3"/>
  <c r="A10" i="3"/>
  <c r="F203" i="1"/>
  <c r="C20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<sst xmlns="http://schemas.openxmlformats.org/spreadsheetml/2006/main" count="1318" uniqueCount="67">
  <si>
    <t>Timestamp</t>
  </si>
  <si>
    <t>Location</t>
  </si>
  <si>
    <t>Route_ID</t>
  </si>
  <si>
    <t>Driver_Name</t>
  </si>
  <si>
    <t>Truck_ID</t>
  </si>
  <si>
    <t>Waste_Type</t>
  </si>
  <si>
    <t>Waste_Amount_kg</t>
  </si>
  <si>
    <t>Bin_Level_percent</t>
  </si>
  <si>
    <t>Collection_Duration_mins</t>
  </si>
  <si>
    <t>Collection_Status</t>
  </si>
  <si>
    <t>Rajiv Chowk Metro Area</t>
  </si>
  <si>
    <t>ROUTE-1</t>
  </si>
  <si>
    <t>Vikram</t>
  </si>
  <si>
    <t>TRUCK-120</t>
  </si>
  <si>
    <t>General</t>
  </si>
  <si>
    <t>Missed</t>
  </si>
  <si>
    <t>NH8 (near Airport)</t>
  </si>
  <si>
    <t>ROUTE-5</t>
  </si>
  <si>
    <t>Sunita</t>
  </si>
  <si>
    <t>TRUCK-110</t>
  </si>
  <si>
    <t>Recyclable</t>
  </si>
  <si>
    <t>Pending</t>
  </si>
  <si>
    <t>India Gate Circle</t>
  </si>
  <si>
    <t>ROUTE-4</t>
  </si>
  <si>
    <t>Priya</t>
  </si>
  <si>
    <t>TRUCK-117</t>
  </si>
  <si>
    <t>Organic</t>
  </si>
  <si>
    <t>Outer Ring Road (IIT Delhi)</t>
  </si>
  <si>
    <t>Rahul</t>
  </si>
  <si>
    <t>Collected</t>
  </si>
  <si>
    <t>ROUTE-2</t>
  </si>
  <si>
    <t>Amit</t>
  </si>
  <si>
    <t>TRUCK-105</t>
  </si>
  <si>
    <t>Hazardous</t>
  </si>
  <si>
    <t>Chandni Chowk</t>
  </si>
  <si>
    <t>TRUCK-106</t>
  </si>
  <si>
    <t>TRUCK-101</t>
  </si>
  <si>
    <t>TRUCK-119</t>
  </si>
  <si>
    <t>TRUCK-103</t>
  </si>
  <si>
    <t>ROUTE-3</t>
  </si>
  <si>
    <t>TRUCK-115</t>
  </si>
  <si>
    <t>DND Flyway</t>
  </si>
  <si>
    <t>TRUCK-113</t>
  </si>
  <si>
    <t>TRUCK-111</t>
  </si>
  <si>
    <t>Connaught Place</t>
  </si>
  <si>
    <t>TRUCK-109</t>
  </si>
  <si>
    <t>TRUCK-107</t>
  </si>
  <si>
    <t>TRUCK-104</t>
  </si>
  <si>
    <t>TRUCK-102</t>
  </si>
  <si>
    <t>TRUCK-116</t>
  </si>
  <si>
    <t>TRUCK-112</t>
  </si>
  <si>
    <t>AIIMS Crossing</t>
  </si>
  <si>
    <t>TRUCK-118</t>
  </si>
  <si>
    <t>TRUCK-108</t>
  </si>
  <si>
    <t>TRUCK-114</t>
  </si>
  <si>
    <t>Row Labels</t>
  </si>
  <si>
    <t>Grand Total</t>
  </si>
  <si>
    <t>Count of Waste_Type</t>
  </si>
  <si>
    <t>WASTE MANAGEMENT ANALYTICS DASHBOARD</t>
  </si>
  <si>
    <t>Sum of Waste_Amount_kg</t>
  </si>
  <si>
    <t>Average of Bin_Level_percent</t>
  </si>
  <si>
    <t>Count of Truck_ID</t>
  </si>
  <si>
    <t>AVERAGE BIN LEVEL(IN %)</t>
  </si>
  <si>
    <t>TOTAL WASTE(IN KG)</t>
  </si>
  <si>
    <t>AVERAGE COLLECTION TIME(IN MIN)</t>
  </si>
  <si>
    <t>MOST USED ROUTE</t>
  </si>
  <si>
    <t>MOST TYPE OF WASTE GENERATED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</si>
</sst>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hh:mm:ss"/>
  </numFmts>
  <fonts count="9" x14ac:knownFonts="1">
    <font>
      <sz val="11"/>
      <color theme="1"/>
      <name val="Calibri"/>
      <family val="2"/>
      <scheme val="minor"/>
    </font>
    <font>
      <sz val="11"/>
      <color theme="1"/>
      <name val="Calibri"/>
      <family val="2"/>
      <scheme val="minor"/>
    </font>
    <font>
      <b/>
      <sz val="11"/>
      <color theme="0"/>
      <name val="Calibri"/>
      <family val="2"/>
    </font>
    <font>
      <b/>
      <sz val="24"/>
      <color theme="0"/>
      <name val="Calibri"/>
      <family val="2"/>
      <scheme val="minor"/>
    </font>
    <font>
      <b/>
      <sz val="36"/>
      <color theme="1"/>
      <name val="Calibri"/>
      <family val="2"/>
      <scheme val="minor"/>
    </font>
    <font>
      <b/>
      <sz val="26"/>
      <color theme="0"/>
      <name val="Calibri"/>
      <family val="2"/>
      <scheme val="minor"/>
    </font>
    <font>
      <b/>
      <sz val="36"/>
      <color rgb="FF000000"/>
      <name val="Calibri"/>
      <family val="2"/>
      <scheme val="minor"/>
    </font>
    <font>
      <b/>
      <sz val="55"/>
      <color theme="4" tint="0.79998168889431442"/>
      <name val="Calibri"/>
      <family val="2"/>
      <scheme val="minor"/>
    </font>
    <font>
      <b/>
      <sz val="55"/>
      <color theme="1"/>
      <name val="Calibri"/>
      <family val="2"/>
      <scheme val="minor"/>
    </font>
  </fonts>
  <fills count="7">
    <fill>
      <patternFill patternType="none"/>
    </fill>
    <fill>
      <patternFill patternType="gray125"/>
    </fill>
    <fill>
      <patternFill patternType="solid">
        <fgColor theme="4" tint="0.79998168889431442"/>
        <bgColor indexed="65"/>
      </patternFill>
    </fill>
    <fill>
      <patternFill patternType="solid">
        <fgColor theme="1"/>
        <bgColor indexed="64"/>
      </patternFill>
    </fill>
    <fill>
      <patternFill patternType="solid">
        <fgColor theme="1" tint="4.9989318521683403E-2"/>
        <bgColor indexed="64"/>
      </patternFill>
    </fill>
    <fill>
      <patternFill patternType="solid">
        <fgColor theme="1" tint="0.14999847407452621"/>
        <bgColor indexed="64"/>
      </patternFill>
    </fill>
    <fill>
      <patternFill patternType="solid">
        <fgColor theme="1" tint="0.499984740745262"/>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1" fillId="2" borderId="0" applyNumberFormat="0" applyBorder="0" applyAlignment="0" applyProtection="0"/>
  </cellStyleXfs>
  <cellXfs count="16">
    <xf numFmtId="0" fontId="0" fillId="0" borderId="0" xfId="0"/>
    <xf numFmtId="0" fontId="2" fillId="3" borderId="1" xfId="0" applyFont="1" applyFill="1" applyBorder="1" applyAlignment="1">
      <alignment horizontal="center" vertical="top"/>
    </xf>
    <xf numFmtId="164" fontId="0" fillId="0" borderId="0" xfId="0" applyNumberFormat="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4" borderId="0" xfId="0" applyFill="1"/>
    <xf numFmtId="0" fontId="0" fillId="3" borderId="0" xfId="0" applyFill="1"/>
    <xf numFmtId="0" fontId="7" fillId="3" borderId="0" xfId="0" applyFont="1" applyFill="1"/>
    <xf numFmtId="0" fontId="8" fillId="6" borderId="0" xfId="0" applyFont="1" applyFill="1" applyAlignment="1">
      <alignment horizontal="center"/>
    </xf>
    <xf numFmtId="0" fontId="5" fillId="5" borderId="0" xfId="0" applyFont="1" applyFill="1" applyAlignment="1">
      <alignment horizontal="center" vertical="center"/>
    </xf>
    <xf numFmtId="0" fontId="4" fillId="6" borderId="0" xfId="1" applyFont="1" applyFill="1" applyAlignment="1">
      <alignment horizontal="center"/>
    </xf>
    <xf numFmtId="0" fontId="3" fillId="5" borderId="0" xfId="0" applyFont="1" applyFill="1" applyAlignment="1">
      <alignment horizontal="center" vertical="center"/>
    </xf>
    <xf numFmtId="0" fontId="6" fillId="6" borderId="0" xfId="1" applyFont="1" applyFill="1" applyAlignment="1">
      <alignment horizontal="center" vertical="center"/>
    </xf>
    <xf numFmtId="0" fontId="4" fillId="6" borderId="0" xfId="1" applyFont="1" applyFill="1" applyAlignment="1">
      <alignment horizontal="center" vertical="center"/>
    </xf>
  </cellXfs>
  <cellStyles count="2">
    <cellStyle name="20% - Accent1" xfId="1" builtinId="30"/>
    <cellStyle name="Normal" xfId="0" builtinId="0"/>
  </cellStyles>
  <dxfs count="16">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hh:mm:ss"/>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Calibri"/>
        <scheme val="none"/>
      </font>
      <fill>
        <patternFill patternType="solid">
          <fgColor indexed="64"/>
          <bgColor theme="1"/>
        </patternFill>
      </fill>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0" tint="-0.34998626667073579"/>
        </bottom>
        <vertical/>
        <horizontal/>
      </border>
    </dxf>
    <dxf>
      <font>
        <b/>
        <i val="0"/>
        <sz val="16"/>
        <color theme="1"/>
      </font>
      <fill>
        <patternFill>
          <bgColor theme="1" tint="0.2499465926084170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s>
  <tableStyles count="1" defaultTableStyle="TableStyleMedium9" defaultPivotStyle="PivotStyleLight16">
    <tableStyle name="SlicerStyleOther1 2" pivot="0" table="0" count="10" xr9:uid="{5C74B1FA-1638-4E34-BCCA-327A87A9955B}">
      <tableStyleElement type="wholeTable" dxfId="15"/>
      <tableStyleElement type="headerRow" dxfId="14"/>
    </tableStyle>
  </tableStyles>
  <colors>
    <mruColors>
      <color rgb="FF4D4D4D"/>
      <color rgb="FF0000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[WasteManagementanalyticsbyakshit.xlsx]Sheet2!PivotTable1</c:name>
    <c:fmtId val="5"/>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a:t>WASTE TYPE</a:t>
            </a:r>
          </a:p>
        </c:rich>
      </c:tx>
      <c:layout>
        <c:manualLayout>
          <c:xMode val="edge"/>
          <c:yMode val="edge"/>
          <c:x val="0.37224786032031321"/>
          <c:y val="1.0666664426947102E-2"/>
        </c:manualLayout>
      </c:layout>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1">
              <a:lumMod val="65000"/>
              <a:lumOff val="3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solidFill>
            <a:schemeClr val="tx1">
              <a:lumMod val="95000"/>
              <a:lumOff val="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solidFill>
            <a:schemeClr val="bg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solidFill>
            <a:schemeClr val="bg2">
              <a:lumMod val="2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7218121081391652"/>
          <c:y val="0.11220617066537099"/>
          <c:w val="0.55888011914520042"/>
          <c:h val="0.86028055427179972"/>
        </c:manualLayout>
      </c:layout>
      <c:pieChart>
        <c:varyColors val="1"/>
        <c:ser>
          <c:idx val="0"/>
          <c:order val="0"/>
          <c:tx>
            <c:strRef>
              <c:f>Sheet2!$B$1</c:f>
              <c:strCache>
                <c:ptCount val="1"/>
                <c:pt idx="0">
                  <c:v>Total</c:v>
                </c:pt>
              </c:strCache>
            </c:strRef>
          </c:tx>
          <c:dPt>
            <c:idx val="0"/>
            <c:bubble3D val="0"/>
            <c:spPr>
              <a:solidFill>
                <a:schemeClr val="tx1">
                  <a:lumMod val="65000"/>
                  <a:lumOff val="3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805-48B7-9C9F-5062B735D0A4}"/>
              </c:ext>
            </c:extLst>
          </c:dPt>
          <c:dPt>
            <c:idx val="1"/>
            <c:bubble3D val="0"/>
            <c:spPr>
              <a:solidFill>
                <a:schemeClr val="tx1">
                  <a:lumMod val="95000"/>
                  <a:lumOff val="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805-48B7-9C9F-5062B735D0A4}"/>
              </c:ext>
            </c:extLst>
          </c:dPt>
          <c:dPt>
            <c:idx val="2"/>
            <c:bubble3D val="0"/>
            <c:spPr>
              <a:solidFill>
                <a:schemeClr val="bg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805-48B7-9C9F-5062B735D0A4}"/>
              </c:ext>
            </c:extLst>
          </c:dPt>
          <c:dPt>
            <c:idx val="3"/>
            <c:bubble3D val="0"/>
            <c:spPr>
              <a:solidFill>
                <a:schemeClr val="bg2">
                  <a:lumMod val="2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805-48B7-9C9F-5062B735D0A4}"/>
              </c:ext>
            </c:extLst>
          </c:dPt>
          <c:cat>
            <c:strRef>
              <c:f>Sheet2!$A$2:$A$6</c:f>
              <c:strCache>
                <c:ptCount val="4"/>
                <c:pt idx="0">
                  <c:v>General</c:v>
                </c:pt>
                <c:pt idx="1">
                  <c:v>Hazardous</c:v>
                </c:pt>
                <c:pt idx="2">
                  <c:v>Organic</c:v>
                </c:pt>
                <c:pt idx="3">
                  <c:v>Recyclable</c:v>
                </c:pt>
              </c:strCache>
            </c:strRef>
          </c:cat>
          <c:val>
            <c:numRef>
              <c:f>Sheet2!$B$2:$B$6</c:f>
              <c:numCache>
                <c:formatCode>General</c:formatCode>
                <c:ptCount val="4"/>
                <c:pt idx="0">
                  <c:v>55</c:v>
                </c:pt>
                <c:pt idx="1">
                  <c:v>38</c:v>
                </c:pt>
                <c:pt idx="2">
                  <c:v>56</c:v>
                </c:pt>
                <c:pt idx="3">
                  <c:v>51</c:v>
                </c:pt>
              </c:numCache>
            </c:numRef>
          </c:val>
          <c:extLst>
            <c:ext xmlns:c16="http://schemas.microsoft.com/office/drawing/2014/chart" uri="{C3380CC4-5D6E-409C-BE32-E72D297353CC}">
              <c16:uniqueId val="{00000008-C805-48B7-9C9F-5062B735D0A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6090819569309964"/>
          <c:y val="0.31578849012315174"/>
          <c:w val="0.22869742774646507"/>
          <c:h val="0.39556947074656784"/>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[WasteManagementanalyticsbyakshit.xlsx]Sheet2!PivotTable2</c:name>
    <c:fmtId val="5"/>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a:t>WASTE COLLECTION BY EACH TRUCK</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Sheet2!$D$1</c:f>
              <c:strCache>
                <c:ptCount val="1"/>
                <c:pt idx="0">
                  <c:v>Total</c:v>
                </c:pt>
              </c:strCache>
            </c:strRef>
          </c:tx>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Sheet2!$C$2:$C$22</c:f>
              <c:strCache>
                <c:ptCount val="20"/>
                <c:pt idx="0">
                  <c:v>TRUCK-101</c:v>
                </c:pt>
                <c:pt idx="1">
                  <c:v>TRUCK-102</c:v>
                </c:pt>
                <c:pt idx="2">
                  <c:v>TRUCK-103</c:v>
                </c:pt>
                <c:pt idx="3">
                  <c:v>TRUCK-104</c:v>
                </c:pt>
                <c:pt idx="4">
                  <c:v>TRUCK-105</c:v>
                </c:pt>
                <c:pt idx="5">
                  <c:v>TRUCK-106</c:v>
                </c:pt>
                <c:pt idx="6">
                  <c:v>TRUCK-107</c:v>
                </c:pt>
                <c:pt idx="7">
                  <c:v>TRUCK-108</c:v>
                </c:pt>
                <c:pt idx="8">
                  <c:v>TRUCK-109</c:v>
                </c:pt>
                <c:pt idx="9">
                  <c:v>TRUCK-110</c:v>
                </c:pt>
                <c:pt idx="10">
                  <c:v>TRUCK-111</c:v>
                </c:pt>
                <c:pt idx="11">
                  <c:v>TRUCK-112</c:v>
                </c:pt>
                <c:pt idx="12">
                  <c:v>TRUCK-113</c:v>
                </c:pt>
                <c:pt idx="13">
                  <c:v>TRUCK-114</c:v>
                </c:pt>
                <c:pt idx="14">
                  <c:v>TRUCK-115</c:v>
                </c:pt>
                <c:pt idx="15">
                  <c:v>TRUCK-116</c:v>
                </c:pt>
                <c:pt idx="16">
                  <c:v>TRUCK-117</c:v>
                </c:pt>
                <c:pt idx="17">
                  <c:v>TRUCK-118</c:v>
                </c:pt>
                <c:pt idx="18">
                  <c:v>TRUCK-119</c:v>
                </c:pt>
                <c:pt idx="19">
                  <c:v>TRUCK-120</c:v>
                </c:pt>
              </c:strCache>
            </c:strRef>
          </c:cat>
          <c:val>
            <c:numRef>
              <c:f>Sheet2!$D$2:$D$22</c:f>
              <c:numCache>
                <c:formatCode>General</c:formatCode>
                <c:ptCount val="20"/>
                <c:pt idx="0">
                  <c:v>3119</c:v>
                </c:pt>
                <c:pt idx="1">
                  <c:v>3234</c:v>
                </c:pt>
                <c:pt idx="2">
                  <c:v>961</c:v>
                </c:pt>
                <c:pt idx="3">
                  <c:v>3482</c:v>
                </c:pt>
                <c:pt idx="4">
                  <c:v>2641</c:v>
                </c:pt>
                <c:pt idx="5">
                  <c:v>3363</c:v>
                </c:pt>
                <c:pt idx="6">
                  <c:v>2933</c:v>
                </c:pt>
                <c:pt idx="7">
                  <c:v>3278</c:v>
                </c:pt>
                <c:pt idx="8">
                  <c:v>1446</c:v>
                </c:pt>
                <c:pt idx="9">
                  <c:v>4547</c:v>
                </c:pt>
                <c:pt idx="10">
                  <c:v>2899</c:v>
                </c:pt>
                <c:pt idx="11">
                  <c:v>2156</c:v>
                </c:pt>
                <c:pt idx="12">
                  <c:v>1793</c:v>
                </c:pt>
                <c:pt idx="13">
                  <c:v>1603</c:v>
                </c:pt>
                <c:pt idx="14">
                  <c:v>4226</c:v>
                </c:pt>
                <c:pt idx="15">
                  <c:v>1237</c:v>
                </c:pt>
                <c:pt idx="16">
                  <c:v>3396</c:v>
                </c:pt>
                <c:pt idx="17">
                  <c:v>1714</c:v>
                </c:pt>
                <c:pt idx="18">
                  <c:v>3968</c:v>
                </c:pt>
                <c:pt idx="19">
                  <c:v>1277</c:v>
                </c:pt>
              </c:numCache>
            </c:numRef>
          </c:val>
          <c:extLst>
            <c:ext xmlns:c16="http://schemas.microsoft.com/office/drawing/2014/chart" uri="{C3380CC4-5D6E-409C-BE32-E72D297353CC}">
              <c16:uniqueId val="{00000000-CC1E-48C1-82B6-09B64CF24857}"/>
            </c:ext>
          </c:extLst>
        </c:ser>
        <c:dLbls>
          <c:showLegendKey val="0"/>
          <c:showVal val="0"/>
          <c:showCatName val="0"/>
          <c:showSerName val="0"/>
          <c:showPercent val="0"/>
          <c:showBubbleSize val="0"/>
        </c:dLbls>
        <c:gapWidth val="150"/>
        <c:shape val="box"/>
        <c:axId val="2008363807"/>
        <c:axId val="2008364287"/>
        <c:axId val="0"/>
      </c:bar3DChart>
      <c:catAx>
        <c:axId val="20083638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2008364287"/>
        <c:crosses val="autoZero"/>
        <c:auto val="1"/>
        <c:lblAlgn val="ctr"/>
        <c:lblOffset val="100"/>
        <c:noMultiLvlLbl val="0"/>
      </c:catAx>
      <c:valAx>
        <c:axId val="200836428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200836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[WasteManagementanalyticsbyakshit.xlsx]Sheet2!PivotTable3</c:name>
    <c:fmtId val="5"/>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a:t>WASTE</a:t>
            </a:r>
            <a:r>
              <a:rPr lang="en-US" sz="2400" baseline="0"/>
              <a:t> COLLECTION STATUS</a:t>
            </a:r>
            <a:endParaRPr lang="en-US" sz="2400"/>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solidFill>
              <a:schemeClr val="bg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08707243131848"/>
          <c:y val="0.12269527335606185"/>
          <c:w val="0.85316586194828059"/>
          <c:h val="0.77404956182214768"/>
        </c:manualLayout>
      </c:layout>
      <c:barChart>
        <c:barDir val="col"/>
        <c:grouping val="clustered"/>
        <c:varyColors val="0"/>
        <c:ser>
          <c:idx val="0"/>
          <c:order val="0"/>
          <c:tx>
            <c:strRef>
              <c:f>Sheet2!$F$1</c:f>
              <c:strCache>
                <c:ptCount val="1"/>
                <c:pt idx="0">
                  <c:v>Total</c:v>
                </c:pt>
              </c:strCache>
            </c:strRef>
          </c:tx>
          <c:spPr>
            <a:solidFill>
              <a:schemeClr val="tx1"/>
            </a:solidFill>
            <a:ln>
              <a:solidFill>
                <a:schemeClr val="bg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Sheet2!$E$2:$E$5</c:f>
              <c:strCache>
                <c:ptCount val="3"/>
                <c:pt idx="0">
                  <c:v>Collected</c:v>
                </c:pt>
                <c:pt idx="1">
                  <c:v>Missed</c:v>
                </c:pt>
                <c:pt idx="2">
                  <c:v>Pending</c:v>
                </c:pt>
              </c:strCache>
            </c:strRef>
          </c:cat>
          <c:val>
            <c:numRef>
              <c:f>Sheet2!$F$2:$F$5</c:f>
              <c:numCache>
                <c:formatCode>General</c:formatCode>
                <c:ptCount val="3"/>
                <c:pt idx="0">
                  <c:v>14974</c:v>
                </c:pt>
                <c:pt idx="1">
                  <c:v>20606</c:v>
                </c:pt>
                <c:pt idx="2">
                  <c:v>17693</c:v>
                </c:pt>
              </c:numCache>
            </c:numRef>
          </c:val>
          <c:extLst>
            <c:ext xmlns:c16="http://schemas.microsoft.com/office/drawing/2014/chart" uri="{C3380CC4-5D6E-409C-BE32-E72D297353CC}">
              <c16:uniqueId val="{00000000-BB6C-4D6C-B86B-4946E024B9D6}"/>
            </c:ext>
          </c:extLst>
        </c:ser>
        <c:dLbls>
          <c:showLegendKey val="0"/>
          <c:showVal val="0"/>
          <c:showCatName val="0"/>
          <c:showSerName val="0"/>
          <c:showPercent val="0"/>
          <c:showBubbleSize val="0"/>
        </c:dLbls>
        <c:gapWidth val="100"/>
        <c:overlap val="-24"/>
        <c:axId val="2021776159"/>
        <c:axId val="2021773759"/>
      </c:barChart>
      <c:catAx>
        <c:axId val="20217761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1" i="0" u="none" strike="noStrike" kern="1200" baseline="0">
                <a:solidFill>
                  <a:schemeClr val="lt1">
                    <a:lumMod val="85000"/>
                  </a:schemeClr>
                </a:solidFill>
                <a:latin typeface="+mn-lt"/>
                <a:ea typeface="+mn-ea"/>
                <a:cs typeface="+mn-cs"/>
              </a:defRPr>
            </a:pPr>
            <a:endParaRPr lang="en-US"/>
          </a:p>
        </c:txPr>
        <c:crossAx val="2021773759"/>
        <c:crosses val="autoZero"/>
        <c:auto val="1"/>
        <c:lblAlgn val="ctr"/>
        <c:lblOffset val="100"/>
        <c:noMultiLvlLbl val="0"/>
      </c:catAx>
      <c:valAx>
        <c:axId val="20217737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lt1">
                    <a:lumMod val="85000"/>
                  </a:schemeClr>
                </a:solidFill>
                <a:latin typeface="+mn-lt"/>
                <a:ea typeface="+mn-ea"/>
                <a:cs typeface="+mn-cs"/>
              </a:defRPr>
            </a:pPr>
            <a:endParaRPr lang="en-US"/>
          </a:p>
        </c:txPr>
        <c:crossAx val="202177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[WasteManagementanalyticsbyakshit.xlsx]Sheet2!PivotTable4</c:name>
    <c:fmtId val="5"/>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BIN LEVEL (IN %)</a:t>
            </a:r>
          </a:p>
        </c:rich>
      </c:tx>
      <c:layout>
        <c:manualLayout>
          <c:xMode val="edge"/>
          <c:yMode val="edge"/>
          <c:x val="0.35493718113596856"/>
          <c:y val="4.1900913122094749E-2"/>
        </c:manualLayout>
      </c:layout>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solidFill>
              <a:schemeClr val="tx1"/>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916412019082411E-2"/>
          <c:y val="0.15241875320947609"/>
          <c:w val="0.91319749781049486"/>
          <c:h val="0.61191119180916598"/>
        </c:manualLayout>
      </c:layout>
      <c:lineChart>
        <c:grouping val="standard"/>
        <c:varyColors val="0"/>
        <c:ser>
          <c:idx val="0"/>
          <c:order val="0"/>
          <c:tx>
            <c:strRef>
              <c:f>Sheet2!$I$4</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solidFill>
                <a:schemeClr val="tx1"/>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Sheet2!$H$5:$H$25</c:f>
              <c:strCache>
                <c:ptCount val="20"/>
                <c:pt idx="0">
                  <c:v>TRUCK-101</c:v>
                </c:pt>
                <c:pt idx="1">
                  <c:v>TRUCK-102</c:v>
                </c:pt>
                <c:pt idx="2">
                  <c:v>TRUCK-103</c:v>
                </c:pt>
                <c:pt idx="3">
                  <c:v>TRUCK-104</c:v>
                </c:pt>
                <c:pt idx="4">
                  <c:v>TRUCK-105</c:v>
                </c:pt>
                <c:pt idx="5">
                  <c:v>TRUCK-106</c:v>
                </c:pt>
                <c:pt idx="6">
                  <c:v>TRUCK-107</c:v>
                </c:pt>
                <c:pt idx="7">
                  <c:v>TRUCK-108</c:v>
                </c:pt>
                <c:pt idx="8">
                  <c:v>TRUCK-109</c:v>
                </c:pt>
                <c:pt idx="9">
                  <c:v>TRUCK-110</c:v>
                </c:pt>
                <c:pt idx="10">
                  <c:v>TRUCK-111</c:v>
                </c:pt>
                <c:pt idx="11">
                  <c:v>TRUCK-112</c:v>
                </c:pt>
                <c:pt idx="12">
                  <c:v>TRUCK-113</c:v>
                </c:pt>
                <c:pt idx="13">
                  <c:v>TRUCK-114</c:v>
                </c:pt>
                <c:pt idx="14">
                  <c:v>TRUCK-115</c:v>
                </c:pt>
                <c:pt idx="15">
                  <c:v>TRUCK-116</c:v>
                </c:pt>
                <c:pt idx="16">
                  <c:v>TRUCK-117</c:v>
                </c:pt>
                <c:pt idx="17">
                  <c:v>TRUCK-118</c:v>
                </c:pt>
                <c:pt idx="18">
                  <c:v>TRUCK-119</c:v>
                </c:pt>
                <c:pt idx="19">
                  <c:v>TRUCK-120</c:v>
                </c:pt>
              </c:strCache>
            </c:strRef>
          </c:cat>
          <c:val>
            <c:numRef>
              <c:f>Sheet2!$I$5:$I$25</c:f>
              <c:numCache>
                <c:formatCode>General</c:formatCode>
                <c:ptCount val="20"/>
                <c:pt idx="0">
                  <c:v>76.6875</c:v>
                </c:pt>
                <c:pt idx="1">
                  <c:v>68.15384615384616</c:v>
                </c:pt>
                <c:pt idx="2">
                  <c:v>84.5</c:v>
                </c:pt>
                <c:pt idx="3">
                  <c:v>69</c:v>
                </c:pt>
                <c:pt idx="4">
                  <c:v>79.36363636363636</c:v>
                </c:pt>
                <c:pt idx="5">
                  <c:v>79.75</c:v>
                </c:pt>
                <c:pt idx="6">
                  <c:v>80</c:v>
                </c:pt>
                <c:pt idx="7">
                  <c:v>73.099999999999994</c:v>
                </c:pt>
                <c:pt idx="8">
                  <c:v>73.666666666666671</c:v>
                </c:pt>
                <c:pt idx="9">
                  <c:v>79.571428571428569</c:v>
                </c:pt>
                <c:pt idx="10">
                  <c:v>72.7</c:v>
                </c:pt>
                <c:pt idx="11">
                  <c:v>77.875</c:v>
                </c:pt>
                <c:pt idx="12">
                  <c:v>74.333333333333329</c:v>
                </c:pt>
                <c:pt idx="13">
                  <c:v>72.25</c:v>
                </c:pt>
                <c:pt idx="14">
                  <c:v>73.92307692307692</c:v>
                </c:pt>
                <c:pt idx="15">
                  <c:v>75.333333333333329</c:v>
                </c:pt>
                <c:pt idx="16">
                  <c:v>73</c:v>
                </c:pt>
                <c:pt idx="17">
                  <c:v>63.285714285714285</c:v>
                </c:pt>
                <c:pt idx="18">
                  <c:v>77.454545454545453</c:v>
                </c:pt>
                <c:pt idx="19">
                  <c:v>76.333333333333329</c:v>
                </c:pt>
              </c:numCache>
            </c:numRef>
          </c:val>
          <c:smooth val="0"/>
          <c:extLst>
            <c:ext xmlns:c16="http://schemas.microsoft.com/office/drawing/2014/chart" uri="{C3380CC4-5D6E-409C-BE32-E72D297353CC}">
              <c16:uniqueId val="{00000000-02FB-465E-A4D6-348C3DC811BC}"/>
            </c:ext>
          </c:extLst>
        </c:ser>
        <c:dLbls>
          <c:showLegendKey val="0"/>
          <c:showVal val="0"/>
          <c:showCatName val="0"/>
          <c:showSerName val="0"/>
          <c:showPercent val="0"/>
          <c:showBubbleSize val="0"/>
        </c:dLbls>
        <c:marker val="1"/>
        <c:smooth val="0"/>
        <c:axId val="1953440831"/>
        <c:axId val="1918483567"/>
      </c:lineChart>
      <c:catAx>
        <c:axId val="195344083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1918483567"/>
        <c:crosses val="autoZero"/>
        <c:auto val="1"/>
        <c:lblAlgn val="ctr"/>
        <c:lblOffset val="100"/>
        <c:noMultiLvlLbl val="0"/>
      </c:catAx>
      <c:valAx>
        <c:axId val="19184835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crossAx val="1953440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[WasteManagementanalyticsbyakshit.xlsx]Sheet2!PivotTable5</c:name>
    <c:fmtId val="5"/>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a:t>COLLECTION STATUS BY LOCATION</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183870788145056E-2"/>
          <c:y val="0.11179348813097388"/>
          <c:w val="0.92416130690164144"/>
          <c:h val="0.49598067469133655"/>
        </c:manualLayout>
      </c:layout>
      <c:barChart>
        <c:barDir val="col"/>
        <c:grouping val="clustered"/>
        <c:varyColors val="0"/>
        <c:ser>
          <c:idx val="0"/>
          <c:order val="0"/>
          <c:tx>
            <c:strRef>
              <c:f>Sheet2!$K$1</c:f>
              <c:strCache>
                <c:ptCount val="1"/>
                <c:pt idx="0">
                  <c:v>Total</c:v>
                </c:pt>
              </c:strCache>
            </c:strRef>
          </c:tx>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Sheet2!$J$2:$J$34</c:f>
              <c:multiLvlStrCache>
                <c:ptCount val="24"/>
                <c:lvl>
                  <c:pt idx="0">
                    <c:v>Collected</c:v>
                  </c:pt>
                  <c:pt idx="1">
                    <c:v>Missed</c:v>
                  </c:pt>
                  <c:pt idx="2">
                    <c:v>Pending</c:v>
                  </c:pt>
                  <c:pt idx="3">
                    <c:v>Collected</c:v>
                  </c:pt>
                  <c:pt idx="4">
                    <c:v>Missed</c:v>
                  </c:pt>
                  <c:pt idx="5">
                    <c:v>Pending</c:v>
                  </c:pt>
                  <c:pt idx="6">
                    <c:v>Collected</c:v>
                  </c:pt>
                  <c:pt idx="7">
                    <c:v>Missed</c:v>
                  </c:pt>
                  <c:pt idx="8">
                    <c:v>Pending</c:v>
                  </c:pt>
                  <c:pt idx="9">
                    <c:v>Collected</c:v>
                  </c:pt>
                  <c:pt idx="10">
                    <c:v>Missed</c:v>
                  </c:pt>
                  <c:pt idx="11">
                    <c:v>Pending</c:v>
                  </c:pt>
                  <c:pt idx="12">
                    <c:v>Collected</c:v>
                  </c:pt>
                  <c:pt idx="13">
                    <c:v>Missed</c:v>
                  </c:pt>
                  <c:pt idx="14">
                    <c:v>Pending</c:v>
                  </c:pt>
                  <c:pt idx="15">
                    <c:v>Collected</c:v>
                  </c:pt>
                  <c:pt idx="16">
                    <c:v>Missed</c:v>
                  </c:pt>
                  <c:pt idx="17">
                    <c:v>Pending</c:v>
                  </c:pt>
                  <c:pt idx="18">
                    <c:v>Collected</c:v>
                  </c:pt>
                  <c:pt idx="19">
                    <c:v>Missed</c:v>
                  </c:pt>
                  <c:pt idx="20">
                    <c:v>Pending</c:v>
                  </c:pt>
                  <c:pt idx="21">
                    <c:v>Collected</c:v>
                  </c:pt>
                  <c:pt idx="22">
                    <c:v>Missed</c:v>
                  </c:pt>
                  <c:pt idx="23">
                    <c:v>Pending</c:v>
                  </c:pt>
                </c:lvl>
                <c:lvl>
                  <c:pt idx="0">
                    <c:v>AIIMS Crossing</c:v>
                  </c:pt>
                  <c:pt idx="3">
                    <c:v>Chandni Chowk</c:v>
                  </c:pt>
                  <c:pt idx="6">
                    <c:v>Connaught Place</c:v>
                  </c:pt>
                  <c:pt idx="9">
                    <c:v>DND Flyway</c:v>
                  </c:pt>
                  <c:pt idx="12">
                    <c:v>India Gate Circle</c:v>
                  </c:pt>
                  <c:pt idx="15">
                    <c:v>NH8 (near Airport)</c:v>
                  </c:pt>
                  <c:pt idx="18">
                    <c:v>Outer Ring Road (IIT Delhi)</c:v>
                  </c:pt>
                  <c:pt idx="21">
                    <c:v>Rajiv Chowk Metro Area</c:v>
                  </c:pt>
                </c:lvl>
              </c:multiLvlStrCache>
            </c:multiLvlStrRef>
          </c:cat>
          <c:val>
            <c:numRef>
              <c:f>Sheet2!$K$2:$K$34</c:f>
              <c:numCache>
                <c:formatCode>General</c:formatCode>
                <c:ptCount val="24"/>
                <c:pt idx="0">
                  <c:v>2841</c:v>
                </c:pt>
                <c:pt idx="1">
                  <c:v>3669</c:v>
                </c:pt>
                <c:pt idx="2">
                  <c:v>2182</c:v>
                </c:pt>
                <c:pt idx="3">
                  <c:v>3008</c:v>
                </c:pt>
                <c:pt idx="4">
                  <c:v>2446</c:v>
                </c:pt>
                <c:pt idx="5">
                  <c:v>2726</c:v>
                </c:pt>
                <c:pt idx="6">
                  <c:v>1055</c:v>
                </c:pt>
                <c:pt idx="7">
                  <c:v>1851</c:v>
                </c:pt>
                <c:pt idx="8">
                  <c:v>1121</c:v>
                </c:pt>
                <c:pt idx="9">
                  <c:v>2282</c:v>
                </c:pt>
                <c:pt idx="10">
                  <c:v>3272</c:v>
                </c:pt>
                <c:pt idx="11">
                  <c:v>1505</c:v>
                </c:pt>
                <c:pt idx="12">
                  <c:v>1293</c:v>
                </c:pt>
                <c:pt idx="13">
                  <c:v>1201</c:v>
                </c:pt>
                <c:pt idx="14">
                  <c:v>1865</c:v>
                </c:pt>
                <c:pt idx="15">
                  <c:v>570</c:v>
                </c:pt>
                <c:pt idx="16">
                  <c:v>3586</c:v>
                </c:pt>
                <c:pt idx="17">
                  <c:v>2893</c:v>
                </c:pt>
                <c:pt idx="18">
                  <c:v>1121</c:v>
                </c:pt>
                <c:pt idx="19">
                  <c:v>1725</c:v>
                </c:pt>
                <c:pt idx="20">
                  <c:v>2002</c:v>
                </c:pt>
                <c:pt idx="21">
                  <c:v>2804</c:v>
                </c:pt>
                <c:pt idx="22">
                  <c:v>2856</c:v>
                </c:pt>
                <c:pt idx="23">
                  <c:v>3399</c:v>
                </c:pt>
              </c:numCache>
            </c:numRef>
          </c:val>
          <c:extLst>
            <c:ext xmlns:c16="http://schemas.microsoft.com/office/drawing/2014/chart" uri="{C3380CC4-5D6E-409C-BE32-E72D297353CC}">
              <c16:uniqueId val="{00000000-647F-4D0C-953C-66E45DF5991F}"/>
            </c:ext>
          </c:extLst>
        </c:ser>
        <c:dLbls>
          <c:showLegendKey val="0"/>
          <c:showVal val="0"/>
          <c:showCatName val="0"/>
          <c:showSerName val="0"/>
          <c:showPercent val="0"/>
          <c:showBubbleSize val="0"/>
        </c:dLbls>
        <c:gapWidth val="100"/>
        <c:overlap val="-24"/>
        <c:axId val="148929983"/>
        <c:axId val="148936223"/>
      </c:barChart>
      <c:catAx>
        <c:axId val="1489299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148936223"/>
        <c:crosses val="autoZero"/>
        <c:auto val="1"/>
        <c:lblAlgn val="ctr"/>
        <c:lblOffset val="100"/>
        <c:noMultiLvlLbl val="0"/>
      </c:catAx>
      <c:valAx>
        <c:axId val="1489362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crossAx val="148929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[WasteManagementanalyticsbyakshit.xlsx]Sheet2!PivotTable6</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561711790393017E-2"/>
          <c:y val="0.11528494816375864"/>
          <c:w val="0.90691689082969429"/>
          <c:h val="0.74740498924725862"/>
        </c:manualLayout>
      </c:layout>
      <c:barChart>
        <c:barDir val="col"/>
        <c:grouping val="clustered"/>
        <c:varyColors val="0"/>
        <c:ser>
          <c:idx val="0"/>
          <c:order val="0"/>
          <c:tx>
            <c:strRef>
              <c:f>Sheet2!$M$1</c:f>
              <c:strCache>
                <c:ptCount val="1"/>
                <c:pt idx="0">
                  <c:v>Total</c:v>
                </c:pt>
              </c:strCache>
            </c:strRef>
          </c:tx>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Sheet2!$L$2:$L$7</c:f>
              <c:strCache>
                <c:ptCount val="5"/>
                <c:pt idx="0">
                  <c:v>ROUTE-1</c:v>
                </c:pt>
                <c:pt idx="1">
                  <c:v>ROUTE-2</c:v>
                </c:pt>
                <c:pt idx="2">
                  <c:v>ROUTE-3</c:v>
                </c:pt>
                <c:pt idx="3">
                  <c:v>ROUTE-4</c:v>
                </c:pt>
                <c:pt idx="4">
                  <c:v>ROUTE-5</c:v>
                </c:pt>
              </c:strCache>
            </c:strRef>
          </c:cat>
          <c:val>
            <c:numRef>
              <c:f>Sheet2!$M$2:$M$7</c:f>
              <c:numCache>
                <c:formatCode>General</c:formatCode>
                <c:ptCount val="5"/>
                <c:pt idx="0">
                  <c:v>43</c:v>
                </c:pt>
                <c:pt idx="1">
                  <c:v>32</c:v>
                </c:pt>
                <c:pt idx="2">
                  <c:v>42</c:v>
                </c:pt>
                <c:pt idx="3">
                  <c:v>44</c:v>
                </c:pt>
                <c:pt idx="4">
                  <c:v>39</c:v>
                </c:pt>
              </c:numCache>
            </c:numRef>
          </c:val>
          <c:extLst>
            <c:ext xmlns:c16="http://schemas.microsoft.com/office/drawing/2014/chart" uri="{C3380CC4-5D6E-409C-BE32-E72D297353CC}">
              <c16:uniqueId val="{00000000-082C-4782-85DF-2F7C84CB174A}"/>
            </c:ext>
          </c:extLst>
        </c:ser>
        <c:dLbls>
          <c:showLegendKey val="0"/>
          <c:showVal val="0"/>
          <c:showCatName val="0"/>
          <c:showSerName val="0"/>
          <c:showPercent val="0"/>
          <c:showBubbleSize val="0"/>
        </c:dLbls>
        <c:gapWidth val="100"/>
        <c:overlap val="-24"/>
        <c:axId val="2019680447"/>
        <c:axId val="2019681887"/>
      </c:barChart>
      <c:catAx>
        <c:axId val="20196804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2019681887"/>
        <c:crosses val="autoZero"/>
        <c:auto val="1"/>
        <c:lblAlgn val="ctr"/>
        <c:lblOffset val="100"/>
        <c:noMultiLvlLbl val="0"/>
      </c:catAx>
      <c:valAx>
        <c:axId val="20196818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201968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600">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8562</xdr:colOff>
      <xdr:row>12</xdr:row>
      <xdr:rowOff>137744</xdr:rowOff>
    </xdr:from>
    <xdr:to>
      <xdr:col>11</xdr:col>
      <xdr:colOff>494475</xdr:colOff>
      <xdr:row>37</xdr:row>
      <xdr:rowOff>177451</xdr:rowOff>
    </xdr:to>
    <xdr:graphicFrame macro="">
      <xdr:nvGraphicFramePr>
        <xdr:cNvPr id="2" name="Chart 1">
          <a:extLst>
            <a:ext uri="{FF2B5EF4-FFF2-40B4-BE49-F238E27FC236}">
              <a16:creationId xmlns:a16="http://schemas.microsoft.com/office/drawing/2014/main" id="{24B51F62-0FF5-40C4-B21B-2CA04529C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14861</xdr:colOff>
      <xdr:row>12</xdr:row>
      <xdr:rowOff>145914</xdr:rowOff>
    </xdr:from>
    <xdr:to>
      <xdr:col>25</xdr:col>
      <xdr:colOff>468631</xdr:colOff>
      <xdr:row>37</xdr:row>
      <xdr:rowOff>179070</xdr:rowOff>
    </xdr:to>
    <xdr:graphicFrame macro="">
      <xdr:nvGraphicFramePr>
        <xdr:cNvPr id="3" name="Chart 2">
          <a:extLst>
            <a:ext uri="{FF2B5EF4-FFF2-40B4-BE49-F238E27FC236}">
              <a16:creationId xmlns:a16="http://schemas.microsoft.com/office/drawing/2014/main" id="{84567AE1-4D9D-494A-870D-9F390C34D0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582930</xdr:colOff>
      <xdr:row>12</xdr:row>
      <xdr:rowOff>142875</xdr:rowOff>
    </xdr:from>
    <xdr:to>
      <xdr:col>37</xdr:col>
      <xdr:colOff>466913</xdr:colOff>
      <xdr:row>37</xdr:row>
      <xdr:rowOff>173355</xdr:rowOff>
    </xdr:to>
    <xdr:graphicFrame macro="">
      <xdr:nvGraphicFramePr>
        <xdr:cNvPr id="4" name="Chart 3">
          <a:extLst>
            <a:ext uri="{FF2B5EF4-FFF2-40B4-BE49-F238E27FC236}">
              <a16:creationId xmlns:a16="http://schemas.microsoft.com/office/drawing/2014/main" id="{5F69DB7B-068A-49C7-BDAF-21B1F1ABF2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45790</xdr:colOff>
      <xdr:row>38</xdr:row>
      <xdr:rowOff>135699</xdr:rowOff>
    </xdr:from>
    <xdr:to>
      <xdr:col>11</xdr:col>
      <xdr:colOff>496844</xdr:colOff>
      <xdr:row>65</xdr:row>
      <xdr:rowOff>59968</xdr:rowOff>
    </xdr:to>
    <xdr:graphicFrame macro="">
      <xdr:nvGraphicFramePr>
        <xdr:cNvPr id="5" name="Chart 4">
          <a:extLst>
            <a:ext uri="{FF2B5EF4-FFF2-40B4-BE49-F238E27FC236}">
              <a16:creationId xmlns:a16="http://schemas.microsoft.com/office/drawing/2014/main" id="{1F7C07A8-B750-4815-A853-BF89DE315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11151</xdr:colOff>
      <xdr:row>38</xdr:row>
      <xdr:rowOff>137532</xdr:rowOff>
    </xdr:from>
    <xdr:to>
      <xdr:col>25</xdr:col>
      <xdr:colOff>473967</xdr:colOff>
      <xdr:row>65</xdr:row>
      <xdr:rowOff>53592</xdr:rowOff>
    </xdr:to>
    <xdr:graphicFrame macro="">
      <xdr:nvGraphicFramePr>
        <xdr:cNvPr id="6" name="Chart 5">
          <a:extLst>
            <a:ext uri="{FF2B5EF4-FFF2-40B4-BE49-F238E27FC236}">
              <a16:creationId xmlns:a16="http://schemas.microsoft.com/office/drawing/2014/main" id="{D5F7F0D9-62DF-4929-83C3-0E5532C4B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585694</xdr:colOff>
      <xdr:row>38</xdr:row>
      <xdr:rowOff>136184</xdr:rowOff>
    </xdr:from>
    <xdr:to>
      <xdr:col>37</xdr:col>
      <xdr:colOff>470535</xdr:colOff>
      <xdr:row>65</xdr:row>
      <xdr:rowOff>55756</xdr:rowOff>
    </xdr:to>
    <xdr:graphicFrame macro="">
      <xdr:nvGraphicFramePr>
        <xdr:cNvPr id="7" name="Chart 6">
          <a:extLst>
            <a:ext uri="{FF2B5EF4-FFF2-40B4-BE49-F238E27FC236}">
              <a16:creationId xmlns:a16="http://schemas.microsoft.com/office/drawing/2014/main" id="{752B3EC7-5FA4-4DC4-B287-572208CD3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38</xdr:col>
      <xdr:colOff>9003</xdr:colOff>
      <xdr:row>0</xdr:row>
      <xdr:rowOff>0</xdr:rowOff>
    </xdr:from>
    <xdr:to>
      <xdr:col>42</xdr:col>
      <xdr:colOff>9832</xdr:colOff>
      <xdr:row>14</xdr:row>
      <xdr:rowOff>18362</xdr:rowOff>
    </xdr:to>
    <mc:AlternateContent xmlns:mc="http://schemas.openxmlformats.org/markup-compatibility/2006" xmlns:a14="http://schemas.microsoft.com/office/drawing/2010/main">
      <mc:Choice Requires="a14">
        <xdr:graphicFrame macro="">
          <xdr:nvGraphicFramePr>
            <xdr:cNvPr id="8" name="Location">
              <a:extLst>
                <a:ext uri="{FF2B5EF4-FFF2-40B4-BE49-F238E27FC236}">
                  <a16:creationId xmlns:a16="http://schemas.microsoft.com/office/drawing/2014/main" id="{3D327151-89DD-4672-BEFB-0B99A5981818}"/>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23580203" y="0"/>
              <a:ext cx="2439229" cy="2626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532</xdr:colOff>
      <xdr:row>32</xdr:row>
      <xdr:rowOff>168674</xdr:rowOff>
    </xdr:from>
    <xdr:to>
      <xdr:col>42</xdr:col>
      <xdr:colOff>12290</xdr:colOff>
      <xdr:row>65</xdr:row>
      <xdr:rowOff>45902</xdr:rowOff>
    </xdr:to>
    <mc:AlternateContent xmlns:mc="http://schemas.openxmlformats.org/markup-compatibility/2006" xmlns:a14="http://schemas.microsoft.com/office/drawing/2010/main">
      <mc:Choice Requires="a14">
        <xdr:graphicFrame macro="">
          <xdr:nvGraphicFramePr>
            <xdr:cNvPr id="9" name="Truck_ID">
              <a:extLst>
                <a:ext uri="{FF2B5EF4-FFF2-40B4-BE49-F238E27FC236}">
                  <a16:creationId xmlns:a16="http://schemas.microsoft.com/office/drawing/2014/main" id="{9A89ADCE-79EB-48DE-AE53-802CCF3BADD1}"/>
                </a:ext>
              </a:extLst>
            </xdr:cNvPr>
            <xdr:cNvGraphicFramePr/>
          </xdr:nvGraphicFramePr>
          <xdr:xfrm>
            <a:off x="0" y="0"/>
            <a:ext cx="0" cy="0"/>
          </xdr:xfrm>
          <a:graphic>
            <a:graphicData uri="http://schemas.microsoft.com/office/drawing/2010/slicer">
              <sle:slicer xmlns:sle="http://schemas.microsoft.com/office/drawing/2010/slicer" name="Truck_ID"/>
            </a:graphicData>
          </a:graphic>
        </xdr:graphicFrame>
      </mc:Choice>
      <mc:Fallback xmlns="">
        <xdr:sp macro="" textlink="">
          <xdr:nvSpPr>
            <xdr:cNvPr id="0" name=""/>
            <xdr:cNvSpPr>
              <a:spLocks noTextEdit="1"/>
            </xdr:cNvSpPr>
          </xdr:nvSpPr>
          <xdr:spPr>
            <a:xfrm>
              <a:off x="23571732" y="6129207"/>
              <a:ext cx="2450158" cy="60240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1</xdr:colOff>
      <xdr:row>15</xdr:row>
      <xdr:rowOff>1049</xdr:rowOff>
    </xdr:from>
    <xdr:to>
      <xdr:col>42</xdr:col>
      <xdr:colOff>654</xdr:colOff>
      <xdr:row>23</xdr:row>
      <xdr:rowOff>165253</xdr:rowOff>
    </xdr:to>
    <mc:AlternateContent xmlns:mc="http://schemas.openxmlformats.org/markup-compatibility/2006" xmlns:a14="http://schemas.microsoft.com/office/drawing/2010/main">
      <mc:Choice Requires="a14">
        <xdr:graphicFrame macro="">
          <xdr:nvGraphicFramePr>
            <xdr:cNvPr id="10" name="Waste_Type">
              <a:extLst>
                <a:ext uri="{FF2B5EF4-FFF2-40B4-BE49-F238E27FC236}">
                  <a16:creationId xmlns:a16="http://schemas.microsoft.com/office/drawing/2014/main" id="{845A07A5-D3AB-4428-972C-4693FDCD6637}"/>
                </a:ext>
              </a:extLst>
            </xdr:cNvPr>
            <xdr:cNvGraphicFramePr/>
          </xdr:nvGraphicFramePr>
          <xdr:xfrm>
            <a:off x="0" y="0"/>
            <a:ext cx="0" cy="0"/>
          </xdr:xfrm>
          <a:graphic>
            <a:graphicData uri="http://schemas.microsoft.com/office/drawing/2010/slicer">
              <sle:slicer xmlns:sle="http://schemas.microsoft.com/office/drawing/2010/slicer" name="Waste_Type"/>
            </a:graphicData>
          </a:graphic>
        </xdr:graphicFrame>
      </mc:Choice>
      <mc:Fallback xmlns="">
        <xdr:sp macro="" textlink="">
          <xdr:nvSpPr>
            <xdr:cNvPr id="0" name=""/>
            <xdr:cNvSpPr>
              <a:spLocks noTextEdit="1"/>
            </xdr:cNvSpPr>
          </xdr:nvSpPr>
          <xdr:spPr>
            <a:xfrm>
              <a:off x="23571201" y="2795049"/>
              <a:ext cx="2439053" cy="1654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819</xdr:colOff>
      <xdr:row>24</xdr:row>
      <xdr:rowOff>150547</xdr:rowOff>
    </xdr:from>
    <xdr:to>
      <xdr:col>42</xdr:col>
      <xdr:colOff>12290</xdr:colOff>
      <xdr:row>31</xdr:row>
      <xdr:rowOff>147761</xdr:rowOff>
    </xdr:to>
    <mc:AlternateContent xmlns:mc="http://schemas.openxmlformats.org/markup-compatibility/2006" xmlns:a14="http://schemas.microsoft.com/office/drawing/2010/main">
      <mc:Choice Requires="a14">
        <xdr:graphicFrame macro="">
          <xdr:nvGraphicFramePr>
            <xdr:cNvPr id="11" name="Collection_Status">
              <a:extLst>
                <a:ext uri="{FF2B5EF4-FFF2-40B4-BE49-F238E27FC236}">
                  <a16:creationId xmlns:a16="http://schemas.microsoft.com/office/drawing/2014/main" id="{C4B67F01-464C-4B71-ACD6-356A75071C08}"/>
                </a:ext>
              </a:extLst>
            </xdr:cNvPr>
            <xdr:cNvGraphicFramePr/>
          </xdr:nvGraphicFramePr>
          <xdr:xfrm>
            <a:off x="0" y="0"/>
            <a:ext cx="0" cy="0"/>
          </xdr:xfrm>
          <a:graphic>
            <a:graphicData uri="http://schemas.microsoft.com/office/drawing/2010/slicer">
              <sle:slicer xmlns:sle="http://schemas.microsoft.com/office/drawing/2010/slicer" name="Collection_Status"/>
            </a:graphicData>
          </a:graphic>
        </xdr:graphicFrame>
      </mc:Choice>
      <mc:Fallback xmlns="">
        <xdr:sp macro="" textlink="">
          <xdr:nvSpPr>
            <xdr:cNvPr id="0" name=""/>
            <xdr:cNvSpPr>
              <a:spLocks noTextEdit="1"/>
            </xdr:cNvSpPr>
          </xdr:nvSpPr>
          <xdr:spPr>
            <a:xfrm>
              <a:off x="23572019" y="4620947"/>
              <a:ext cx="2449871" cy="1301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0.3236</cdr:x>
      <cdr:y>0.00888</cdr:y>
    </cdr:from>
    <cdr:to>
      <cdr:x>0.67171</cdr:x>
      <cdr:y>0.08952</cdr:y>
    </cdr:to>
    <cdr:sp macro="" textlink="">
      <cdr:nvSpPr>
        <cdr:cNvPr id="2" name="TextBox 1">
          <a:extLst xmlns:a="http://schemas.openxmlformats.org/drawingml/2006/main">
            <a:ext uri="{FF2B5EF4-FFF2-40B4-BE49-F238E27FC236}">
              <a16:creationId xmlns:a16="http://schemas.microsoft.com/office/drawing/2014/main" id="{19AD4641-2D51-BE7F-4E5A-D5CCC7FBE174}"/>
            </a:ext>
          </a:extLst>
        </cdr:cNvPr>
        <cdr:cNvSpPr txBox="1"/>
      </cdr:nvSpPr>
      <cdr:spPr>
        <a:xfrm xmlns:a="http://schemas.openxmlformats.org/drawingml/2006/main">
          <a:off x="2315768" y="43016"/>
          <a:ext cx="2491153" cy="39076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2000" b="1" kern="1200">
              <a:solidFill>
                <a:schemeClr val="bg1"/>
              </a:solidFill>
            </a:rPr>
            <a:t>TIMES</a:t>
          </a:r>
          <a:r>
            <a:rPr lang="en-IN" sz="2000" b="1" kern="1200" baseline="0">
              <a:solidFill>
                <a:schemeClr val="bg1"/>
              </a:solidFill>
            </a:rPr>
            <a:t> </a:t>
          </a:r>
          <a:r>
            <a:rPr lang="en-IN" sz="2000" b="1" kern="1200">
              <a:solidFill>
                <a:schemeClr val="bg1"/>
              </a:solidFill>
            </a:rPr>
            <a:t>ROUTES TAKEN</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IBRARY-DIGITAL" refreshedDate="46308.600815740741" createdVersion="8" refreshedVersion="8" minRefreshableVersion="3" recordCount="200" xr:uid="{3E7CF78C-BAFC-41F0-BC8D-5C4853CED3B6}">
  <cacheSource type="worksheet">
    <worksheetSource name="Table1"/>
  </cacheSource>
  <cacheFields count="10">
    <cacheField name="Timestamp" numFmtId="164">
      <sharedItems containsSemiMixedTypes="0" containsNonDate="0" containsDate="1" containsString="0" minDate="2026-09-01T00:00:00" maxDate="2026-10-01T00:00:00"/>
    </cacheField>
    <cacheField name="Location" numFmtId="0">
      <sharedItems count="8">
        <s v="Rajiv Chowk Metro Area"/>
        <s v="NH8 (near Airport)"/>
        <s v="India Gate Circle"/>
        <s v="Outer Ring Road (IIT Delhi)"/>
        <s v="Chandni Chowk"/>
        <s v="DND Flyway"/>
        <s v="Connaught Place"/>
        <s v="AIIMS Crossing"/>
      </sharedItems>
    </cacheField>
    <cacheField name="Route_ID" numFmtId="0">
      <sharedItems count="5">
        <s v="ROUTE-1"/>
        <s v="ROUTE-5"/>
        <s v="ROUTE-4"/>
        <s v="ROUTE-2"/>
        <s v="ROUTE-3"/>
      </sharedItems>
    </cacheField>
    <cacheField name="Driver_Name" numFmtId="0">
      <sharedItems/>
    </cacheField>
    <cacheField name="Truck_ID" numFmtId="0">
      <sharedItems count="20">
        <s v="TRUCK-120"/>
        <s v="TRUCK-110"/>
        <s v="TRUCK-117"/>
        <s v="TRUCK-105"/>
        <s v="TRUCK-106"/>
        <s v="TRUCK-101"/>
        <s v="TRUCK-119"/>
        <s v="TRUCK-103"/>
        <s v="TRUCK-115"/>
        <s v="TRUCK-113"/>
        <s v="TRUCK-111"/>
        <s v="TRUCK-109"/>
        <s v="TRUCK-107"/>
        <s v="TRUCK-104"/>
        <s v="TRUCK-102"/>
        <s v="TRUCK-116"/>
        <s v="TRUCK-112"/>
        <s v="TRUCK-118"/>
        <s v="TRUCK-108"/>
        <s v="TRUCK-114"/>
      </sharedItems>
    </cacheField>
    <cacheField name="Waste_Type" numFmtId="0">
      <sharedItems count="4">
        <s v="General"/>
        <s v="Recyclable"/>
        <s v="Organic"/>
        <s v="Hazardous"/>
      </sharedItems>
    </cacheField>
    <cacheField name="Waste_Amount_kg" numFmtId="0">
      <sharedItems containsSemiMixedTypes="0" containsString="0" containsNumber="1" containsInteger="1" minValue="50" maxValue="498"/>
    </cacheField>
    <cacheField name="Bin_Level_percent" numFmtId="0">
      <sharedItems containsSemiMixedTypes="0" containsString="0" containsNumber="1" containsInteger="1" minValue="50" maxValue="100"/>
    </cacheField>
    <cacheField name="Collection_Duration_mins" numFmtId="0">
      <sharedItems containsSemiMixedTypes="0" containsString="0" containsNumber="1" containsInteger="1" minValue="5" maxValue="20"/>
    </cacheField>
    <cacheField name="Collection_Status" numFmtId="0">
      <sharedItems count="3">
        <s v="Missed"/>
        <s v="Pending"/>
        <s v="Collected"/>
      </sharedItems>
    </cacheField>
  </cacheFields>
  <extLst>
    <ext xmlns:x14="http://schemas.microsoft.com/office/spreadsheetml/2009/9/main" uri="{725AE2AE-9491-48be-B2B4-4EB974FC3084}">
      <x14:pivotCacheDefinition pivotCacheId="3011559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d v="2026-09-01T00:00:00"/>
    <x v="0"/>
    <x v="0"/>
    <s v="Vikram"/>
    <x v="0"/>
    <x v="0"/>
    <n v="61"/>
    <n v="99"/>
    <n v="6"/>
    <x v="0"/>
  </r>
  <r>
    <d v="2026-09-01T03:29:51"/>
    <x v="1"/>
    <x v="1"/>
    <s v="Sunita"/>
    <x v="1"/>
    <x v="1"/>
    <n v="220"/>
    <n v="100"/>
    <n v="13"/>
    <x v="1"/>
  </r>
  <r>
    <d v="2026-09-01T06:59:42"/>
    <x v="2"/>
    <x v="2"/>
    <s v="Priya"/>
    <x v="2"/>
    <x v="2"/>
    <n v="496"/>
    <n v="54"/>
    <n v="11"/>
    <x v="1"/>
  </r>
  <r>
    <d v="2026-09-01T10:29:33"/>
    <x v="3"/>
    <x v="1"/>
    <s v="Rahul"/>
    <x v="2"/>
    <x v="1"/>
    <n v="496"/>
    <n v="95"/>
    <n v="12"/>
    <x v="2"/>
  </r>
  <r>
    <d v="2026-09-01T13:59:24"/>
    <x v="0"/>
    <x v="3"/>
    <s v="Amit"/>
    <x v="3"/>
    <x v="0"/>
    <n v="471"/>
    <n v="87"/>
    <n v="15"/>
    <x v="0"/>
  </r>
  <r>
    <d v="2026-09-01T17:29:15"/>
    <x v="0"/>
    <x v="1"/>
    <s v="Amit"/>
    <x v="3"/>
    <x v="3"/>
    <n v="303"/>
    <n v="88"/>
    <n v="17"/>
    <x v="1"/>
  </r>
  <r>
    <d v="2026-09-01T20:59:06"/>
    <x v="4"/>
    <x v="2"/>
    <s v="Priya"/>
    <x v="4"/>
    <x v="0"/>
    <n v="266"/>
    <n v="100"/>
    <n v="19"/>
    <x v="1"/>
  </r>
  <r>
    <d v="2026-09-02T00:28:57"/>
    <x v="1"/>
    <x v="1"/>
    <s v="Priya"/>
    <x v="5"/>
    <x v="0"/>
    <n v="238"/>
    <n v="74"/>
    <n v="18"/>
    <x v="1"/>
  </r>
  <r>
    <d v="2026-09-02T03:58:48"/>
    <x v="1"/>
    <x v="2"/>
    <s v="Rahul"/>
    <x v="6"/>
    <x v="0"/>
    <n v="91"/>
    <n v="74"/>
    <n v="19"/>
    <x v="0"/>
  </r>
  <r>
    <d v="2026-09-02T07:28:39"/>
    <x v="1"/>
    <x v="3"/>
    <s v="Vikram"/>
    <x v="7"/>
    <x v="3"/>
    <n v="69"/>
    <n v="78"/>
    <n v="7"/>
    <x v="1"/>
  </r>
  <r>
    <d v="2026-09-02T10:58:30"/>
    <x v="0"/>
    <x v="4"/>
    <s v="Rahul"/>
    <x v="8"/>
    <x v="3"/>
    <n v="115"/>
    <n v="81"/>
    <n v="17"/>
    <x v="0"/>
  </r>
  <r>
    <d v="2026-09-02T14:28:21"/>
    <x v="5"/>
    <x v="0"/>
    <s v="Amit"/>
    <x v="9"/>
    <x v="3"/>
    <n v="319"/>
    <n v="80"/>
    <n v="11"/>
    <x v="0"/>
  </r>
  <r>
    <d v="2026-09-02T17:58:11"/>
    <x v="0"/>
    <x v="3"/>
    <s v="Priya"/>
    <x v="10"/>
    <x v="3"/>
    <n v="463"/>
    <n v="80"/>
    <n v="11"/>
    <x v="1"/>
  </r>
  <r>
    <d v="2026-09-02T21:28:02"/>
    <x v="4"/>
    <x v="4"/>
    <s v="Rahul"/>
    <x v="1"/>
    <x v="0"/>
    <n v="372"/>
    <n v="92"/>
    <n v="8"/>
    <x v="0"/>
  </r>
  <r>
    <d v="2026-09-03T00:57:53"/>
    <x v="2"/>
    <x v="4"/>
    <s v="Rahul"/>
    <x v="2"/>
    <x v="3"/>
    <n v="494"/>
    <n v="93"/>
    <n v="10"/>
    <x v="1"/>
  </r>
  <r>
    <d v="2026-09-03T04:27:44"/>
    <x v="6"/>
    <x v="1"/>
    <s v="Vikram"/>
    <x v="11"/>
    <x v="0"/>
    <n v="274"/>
    <n v="58"/>
    <n v="16"/>
    <x v="0"/>
  </r>
  <r>
    <d v="2026-09-03T07:57:35"/>
    <x v="2"/>
    <x v="0"/>
    <s v="Amit"/>
    <x v="12"/>
    <x v="2"/>
    <n v="488"/>
    <n v="80"/>
    <n v="8"/>
    <x v="2"/>
  </r>
  <r>
    <d v="2026-09-03T11:27:26"/>
    <x v="0"/>
    <x v="1"/>
    <s v="Vikram"/>
    <x v="6"/>
    <x v="3"/>
    <n v="484"/>
    <n v="88"/>
    <n v="19"/>
    <x v="2"/>
  </r>
  <r>
    <d v="2026-09-03T14:57:17"/>
    <x v="4"/>
    <x v="1"/>
    <s v="Vikram"/>
    <x v="13"/>
    <x v="2"/>
    <n v="488"/>
    <n v="51"/>
    <n v="7"/>
    <x v="1"/>
  </r>
  <r>
    <d v="2026-09-03T18:27:08"/>
    <x v="1"/>
    <x v="2"/>
    <s v="Sunita"/>
    <x v="1"/>
    <x v="3"/>
    <n v="87"/>
    <n v="65"/>
    <n v="11"/>
    <x v="0"/>
  </r>
  <r>
    <d v="2026-09-03T21:56:59"/>
    <x v="5"/>
    <x v="4"/>
    <s v="Sunita"/>
    <x v="4"/>
    <x v="1"/>
    <n v="145"/>
    <n v="95"/>
    <n v="18"/>
    <x v="0"/>
  </r>
  <r>
    <d v="2026-09-04T01:26:50"/>
    <x v="4"/>
    <x v="4"/>
    <s v="Amit"/>
    <x v="9"/>
    <x v="1"/>
    <n v="180"/>
    <n v="64"/>
    <n v="8"/>
    <x v="1"/>
  </r>
  <r>
    <d v="2026-09-04T04:56:41"/>
    <x v="1"/>
    <x v="3"/>
    <s v="Rahul"/>
    <x v="14"/>
    <x v="2"/>
    <n v="212"/>
    <n v="55"/>
    <n v="8"/>
    <x v="0"/>
  </r>
  <r>
    <d v="2026-09-04T08:26:32"/>
    <x v="4"/>
    <x v="0"/>
    <s v="Priya"/>
    <x v="8"/>
    <x v="1"/>
    <n v="436"/>
    <n v="50"/>
    <n v="12"/>
    <x v="2"/>
  </r>
  <r>
    <d v="2026-09-04T11:56:23"/>
    <x v="5"/>
    <x v="2"/>
    <s v="Rahul"/>
    <x v="4"/>
    <x v="1"/>
    <n v="447"/>
    <n v="92"/>
    <n v="8"/>
    <x v="1"/>
  </r>
  <r>
    <d v="2026-09-04T15:26:14"/>
    <x v="3"/>
    <x v="1"/>
    <s v="Vikram"/>
    <x v="15"/>
    <x v="0"/>
    <n v="50"/>
    <n v="57"/>
    <n v="15"/>
    <x v="2"/>
  </r>
  <r>
    <d v="2026-09-04T18:56:05"/>
    <x v="5"/>
    <x v="4"/>
    <s v="Priya"/>
    <x v="2"/>
    <x v="1"/>
    <n v="183"/>
    <n v="75"/>
    <n v="13"/>
    <x v="0"/>
  </r>
  <r>
    <d v="2026-09-04T22:25:56"/>
    <x v="0"/>
    <x v="4"/>
    <s v="Priya"/>
    <x v="2"/>
    <x v="0"/>
    <n v="331"/>
    <n v="55"/>
    <n v="6"/>
    <x v="0"/>
  </r>
  <r>
    <d v="2026-09-05T01:55:47"/>
    <x v="6"/>
    <x v="1"/>
    <s v="Amit"/>
    <x v="16"/>
    <x v="0"/>
    <n v="173"/>
    <n v="99"/>
    <n v="10"/>
    <x v="2"/>
  </r>
  <r>
    <d v="2026-09-05T05:25:38"/>
    <x v="0"/>
    <x v="1"/>
    <s v="Rahul"/>
    <x v="16"/>
    <x v="3"/>
    <n v="171"/>
    <n v="80"/>
    <n v="16"/>
    <x v="2"/>
  </r>
  <r>
    <d v="2026-09-05T08:55:29"/>
    <x v="4"/>
    <x v="0"/>
    <s v="Vikram"/>
    <x v="6"/>
    <x v="1"/>
    <n v="422"/>
    <n v="91"/>
    <n v="16"/>
    <x v="1"/>
  </r>
  <r>
    <d v="2026-09-05T12:25:20"/>
    <x v="7"/>
    <x v="4"/>
    <s v="Sunita"/>
    <x v="12"/>
    <x v="3"/>
    <n v="449"/>
    <n v="99"/>
    <n v="8"/>
    <x v="1"/>
  </r>
  <r>
    <d v="2026-09-05T15:55:11"/>
    <x v="3"/>
    <x v="1"/>
    <s v="Sunita"/>
    <x v="15"/>
    <x v="2"/>
    <n v="236"/>
    <n v="55"/>
    <n v="13"/>
    <x v="1"/>
  </r>
  <r>
    <d v="2026-09-05T19:25:02"/>
    <x v="4"/>
    <x v="0"/>
    <s v="Rahul"/>
    <x v="13"/>
    <x v="3"/>
    <n v="481"/>
    <n v="84"/>
    <n v="6"/>
    <x v="0"/>
  </r>
  <r>
    <d v="2026-09-05T22:54:52"/>
    <x v="5"/>
    <x v="0"/>
    <s v="Priya"/>
    <x v="7"/>
    <x v="0"/>
    <n v="400"/>
    <n v="99"/>
    <n v="6"/>
    <x v="0"/>
  </r>
  <r>
    <d v="2026-09-06T02:24:43"/>
    <x v="0"/>
    <x v="0"/>
    <s v="Priya"/>
    <x v="16"/>
    <x v="1"/>
    <n v="269"/>
    <n v="73"/>
    <n v="15"/>
    <x v="2"/>
  </r>
  <r>
    <d v="2026-09-06T05:54:34"/>
    <x v="7"/>
    <x v="3"/>
    <s v="Vikram"/>
    <x v="5"/>
    <x v="3"/>
    <n v="309"/>
    <n v="75"/>
    <n v="12"/>
    <x v="0"/>
  </r>
  <r>
    <d v="2026-09-06T09:24:25"/>
    <x v="7"/>
    <x v="4"/>
    <s v="Sunita"/>
    <x v="14"/>
    <x v="2"/>
    <n v="58"/>
    <n v="91"/>
    <n v="14"/>
    <x v="1"/>
  </r>
  <r>
    <d v="2026-09-06T12:54:16"/>
    <x v="7"/>
    <x v="0"/>
    <s v="Sunita"/>
    <x v="1"/>
    <x v="0"/>
    <n v="335"/>
    <n v="71"/>
    <n v="20"/>
    <x v="1"/>
  </r>
  <r>
    <d v="2026-09-06T16:24:07"/>
    <x v="0"/>
    <x v="0"/>
    <s v="Sunita"/>
    <x v="17"/>
    <x v="2"/>
    <n v="59"/>
    <n v="62"/>
    <n v="13"/>
    <x v="1"/>
  </r>
  <r>
    <d v="2026-09-06T19:53:58"/>
    <x v="3"/>
    <x v="0"/>
    <s v="Rahul"/>
    <x v="12"/>
    <x v="3"/>
    <n v="308"/>
    <n v="65"/>
    <n v="20"/>
    <x v="1"/>
  </r>
  <r>
    <d v="2026-09-06T23:23:49"/>
    <x v="3"/>
    <x v="2"/>
    <s v="Rahul"/>
    <x v="14"/>
    <x v="0"/>
    <n v="412"/>
    <n v="51"/>
    <n v="15"/>
    <x v="1"/>
  </r>
  <r>
    <d v="2026-09-07T02:53:40"/>
    <x v="6"/>
    <x v="4"/>
    <s v="Vikram"/>
    <x v="14"/>
    <x v="2"/>
    <n v="268"/>
    <n v="75"/>
    <n v="6"/>
    <x v="2"/>
  </r>
  <r>
    <d v="2026-09-07T06:23:31"/>
    <x v="3"/>
    <x v="3"/>
    <s v="Rahul"/>
    <x v="0"/>
    <x v="3"/>
    <n v="249"/>
    <n v="52"/>
    <n v="20"/>
    <x v="0"/>
  </r>
  <r>
    <d v="2026-09-07T09:53:22"/>
    <x v="6"/>
    <x v="1"/>
    <s v="Rahul"/>
    <x v="5"/>
    <x v="0"/>
    <n v="108"/>
    <n v="99"/>
    <n v="13"/>
    <x v="0"/>
  </r>
  <r>
    <d v="2026-09-07T13:23:13"/>
    <x v="0"/>
    <x v="3"/>
    <s v="Amit"/>
    <x v="9"/>
    <x v="1"/>
    <n v="71"/>
    <n v="58"/>
    <n v="16"/>
    <x v="2"/>
  </r>
  <r>
    <d v="2026-09-07T16:53:04"/>
    <x v="5"/>
    <x v="4"/>
    <s v="Vikram"/>
    <x v="0"/>
    <x v="0"/>
    <n v="175"/>
    <n v="69"/>
    <n v="16"/>
    <x v="2"/>
  </r>
  <r>
    <d v="2026-09-07T20:22:55"/>
    <x v="0"/>
    <x v="1"/>
    <s v="Vikram"/>
    <x v="4"/>
    <x v="2"/>
    <n v="362"/>
    <n v="94"/>
    <n v="6"/>
    <x v="1"/>
  </r>
  <r>
    <d v="2026-09-07T23:52:46"/>
    <x v="6"/>
    <x v="4"/>
    <s v="Amit"/>
    <x v="5"/>
    <x v="3"/>
    <n v="76"/>
    <n v="54"/>
    <n v="7"/>
    <x v="0"/>
  </r>
  <r>
    <d v="2026-09-08T03:22:37"/>
    <x v="7"/>
    <x v="1"/>
    <s v="Amit"/>
    <x v="5"/>
    <x v="0"/>
    <n v="341"/>
    <n v="63"/>
    <n v="18"/>
    <x v="1"/>
  </r>
  <r>
    <d v="2026-09-08T06:52:28"/>
    <x v="6"/>
    <x v="4"/>
    <s v="Amit"/>
    <x v="7"/>
    <x v="1"/>
    <n v="106"/>
    <n v="77"/>
    <n v="9"/>
    <x v="0"/>
  </r>
  <r>
    <d v="2026-09-08T10:22:19"/>
    <x v="4"/>
    <x v="4"/>
    <s v="Sunita"/>
    <x v="14"/>
    <x v="1"/>
    <n v="124"/>
    <n v="76"/>
    <n v="14"/>
    <x v="1"/>
  </r>
  <r>
    <d v="2026-09-08T13:52:10"/>
    <x v="6"/>
    <x v="0"/>
    <s v="Priya"/>
    <x v="0"/>
    <x v="1"/>
    <n v="325"/>
    <n v="50"/>
    <n v="13"/>
    <x v="0"/>
  </r>
  <r>
    <d v="2026-09-08T17:22:01"/>
    <x v="2"/>
    <x v="2"/>
    <s v="Amit"/>
    <x v="5"/>
    <x v="0"/>
    <n v="181"/>
    <n v="85"/>
    <n v="19"/>
    <x v="1"/>
  </r>
  <r>
    <d v="2026-09-08T20:51:52"/>
    <x v="0"/>
    <x v="1"/>
    <s v="Sunita"/>
    <x v="6"/>
    <x v="1"/>
    <n v="140"/>
    <n v="64"/>
    <n v="8"/>
    <x v="0"/>
  </r>
  <r>
    <d v="2026-09-09T00:21:43"/>
    <x v="0"/>
    <x v="1"/>
    <s v="Vikram"/>
    <x v="18"/>
    <x v="3"/>
    <n v="472"/>
    <n v="96"/>
    <n v="13"/>
    <x v="0"/>
  </r>
  <r>
    <d v="2026-09-09T03:51:33"/>
    <x v="5"/>
    <x v="3"/>
    <s v="Priya"/>
    <x v="18"/>
    <x v="1"/>
    <n v="85"/>
    <n v="55"/>
    <n v="19"/>
    <x v="0"/>
  </r>
  <r>
    <d v="2026-09-09T07:21:24"/>
    <x v="0"/>
    <x v="4"/>
    <s v="Rahul"/>
    <x v="18"/>
    <x v="3"/>
    <n v="481"/>
    <n v="61"/>
    <n v="8"/>
    <x v="2"/>
  </r>
  <r>
    <d v="2026-09-09T10:51:15"/>
    <x v="6"/>
    <x v="0"/>
    <s v="Rahul"/>
    <x v="18"/>
    <x v="1"/>
    <n v="101"/>
    <n v="87"/>
    <n v="14"/>
    <x v="0"/>
  </r>
  <r>
    <d v="2026-09-09T14:21:06"/>
    <x v="1"/>
    <x v="3"/>
    <s v="Rahul"/>
    <x v="13"/>
    <x v="0"/>
    <n v="370"/>
    <n v="54"/>
    <n v="12"/>
    <x v="0"/>
  </r>
  <r>
    <d v="2026-09-09T17:50:57"/>
    <x v="4"/>
    <x v="2"/>
    <s v="Rahul"/>
    <x v="4"/>
    <x v="0"/>
    <n v="254"/>
    <n v="98"/>
    <n v="8"/>
    <x v="2"/>
  </r>
  <r>
    <d v="2026-09-09T21:20:48"/>
    <x v="5"/>
    <x v="3"/>
    <s v="Sunita"/>
    <x v="12"/>
    <x v="2"/>
    <n v="264"/>
    <n v="79"/>
    <n v="9"/>
    <x v="0"/>
  </r>
  <r>
    <d v="2026-09-10T00:50:39"/>
    <x v="5"/>
    <x v="4"/>
    <s v="Vikram"/>
    <x v="14"/>
    <x v="0"/>
    <n v="228"/>
    <n v="87"/>
    <n v="7"/>
    <x v="0"/>
  </r>
  <r>
    <d v="2026-09-10T04:20:30"/>
    <x v="2"/>
    <x v="0"/>
    <s v="Amit"/>
    <x v="17"/>
    <x v="1"/>
    <n v="143"/>
    <n v="54"/>
    <n v="12"/>
    <x v="2"/>
  </r>
  <r>
    <d v="2026-09-10T07:50:21"/>
    <x v="3"/>
    <x v="3"/>
    <s v="Priya"/>
    <x v="16"/>
    <x v="1"/>
    <n v="123"/>
    <n v="75"/>
    <n v="13"/>
    <x v="2"/>
  </r>
  <r>
    <d v="2026-09-10T11:20:12"/>
    <x v="3"/>
    <x v="3"/>
    <s v="Sunita"/>
    <x v="14"/>
    <x v="2"/>
    <n v="140"/>
    <n v="64"/>
    <n v="12"/>
    <x v="0"/>
  </r>
  <r>
    <d v="2026-09-10T14:50:03"/>
    <x v="0"/>
    <x v="2"/>
    <s v="Priya"/>
    <x v="10"/>
    <x v="1"/>
    <n v="217"/>
    <n v="59"/>
    <n v="7"/>
    <x v="1"/>
  </r>
  <r>
    <d v="2026-09-10T18:19:54"/>
    <x v="7"/>
    <x v="0"/>
    <s v="Vikram"/>
    <x v="8"/>
    <x v="1"/>
    <n v="132"/>
    <n v="99"/>
    <n v="10"/>
    <x v="2"/>
  </r>
  <r>
    <d v="2026-09-10T21:49:45"/>
    <x v="7"/>
    <x v="0"/>
    <s v="Vikram"/>
    <x v="18"/>
    <x v="0"/>
    <n v="387"/>
    <n v="51"/>
    <n v="10"/>
    <x v="0"/>
  </r>
  <r>
    <d v="2026-09-11T01:19:36"/>
    <x v="1"/>
    <x v="2"/>
    <s v="Sunita"/>
    <x v="14"/>
    <x v="0"/>
    <n v="169"/>
    <n v="52"/>
    <n v="5"/>
    <x v="2"/>
  </r>
  <r>
    <d v="2026-09-11T04:49:27"/>
    <x v="5"/>
    <x v="0"/>
    <s v="Amit"/>
    <x v="5"/>
    <x v="0"/>
    <n v="84"/>
    <n v="91"/>
    <n v="18"/>
    <x v="1"/>
  </r>
  <r>
    <d v="2026-09-11T08:19:18"/>
    <x v="5"/>
    <x v="1"/>
    <s v="Amit"/>
    <x v="1"/>
    <x v="3"/>
    <n v="368"/>
    <n v="95"/>
    <n v="15"/>
    <x v="2"/>
  </r>
  <r>
    <d v="2026-09-11T11:49:09"/>
    <x v="4"/>
    <x v="1"/>
    <s v="Vikram"/>
    <x v="10"/>
    <x v="2"/>
    <n v="290"/>
    <n v="84"/>
    <n v="20"/>
    <x v="0"/>
  </r>
  <r>
    <d v="2026-09-11T15:19:00"/>
    <x v="7"/>
    <x v="1"/>
    <s v="Sunita"/>
    <x v="12"/>
    <x v="2"/>
    <n v="386"/>
    <n v="82"/>
    <n v="7"/>
    <x v="0"/>
  </r>
  <r>
    <d v="2026-09-11T18:48:51"/>
    <x v="2"/>
    <x v="1"/>
    <s v="Sunita"/>
    <x v="5"/>
    <x v="2"/>
    <n v="244"/>
    <n v="84"/>
    <n v="12"/>
    <x v="2"/>
  </r>
  <r>
    <d v="2026-09-11T22:18:42"/>
    <x v="7"/>
    <x v="3"/>
    <s v="Sunita"/>
    <x v="4"/>
    <x v="2"/>
    <n v="101"/>
    <n v="62"/>
    <n v="13"/>
    <x v="1"/>
  </r>
  <r>
    <d v="2026-09-12T01:48:33"/>
    <x v="6"/>
    <x v="0"/>
    <s v="Amit"/>
    <x v="16"/>
    <x v="2"/>
    <n v="215"/>
    <n v="96"/>
    <n v="14"/>
    <x v="2"/>
  </r>
  <r>
    <d v="2026-09-12T05:18:24"/>
    <x v="1"/>
    <x v="1"/>
    <s v="Sunita"/>
    <x v="13"/>
    <x v="2"/>
    <n v="202"/>
    <n v="77"/>
    <n v="7"/>
    <x v="1"/>
  </r>
  <r>
    <d v="2026-09-12T08:48:14"/>
    <x v="4"/>
    <x v="2"/>
    <s v="Rahul"/>
    <x v="14"/>
    <x v="1"/>
    <n v="249"/>
    <n v="52"/>
    <n v="10"/>
    <x v="0"/>
  </r>
  <r>
    <d v="2026-09-12T12:18:05"/>
    <x v="0"/>
    <x v="3"/>
    <s v="Amit"/>
    <x v="1"/>
    <x v="3"/>
    <n v="458"/>
    <n v="87"/>
    <n v="10"/>
    <x v="0"/>
  </r>
  <r>
    <d v="2026-09-12T15:47:56"/>
    <x v="0"/>
    <x v="2"/>
    <s v="Amit"/>
    <x v="9"/>
    <x v="2"/>
    <n v="123"/>
    <n v="81"/>
    <n v="15"/>
    <x v="1"/>
  </r>
  <r>
    <d v="2026-09-12T19:17:47"/>
    <x v="2"/>
    <x v="1"/>
    <s v="Amit"/>
    <x v="12"/>
    <x v="1"/>
    <n v="196"/>
    <n v="96"/>
    <n v="11"/>
    <x v="1"/>
  </r>
  <r>
    <d v="2026-09-12T22:47:38"/>
    <x v="7"/>
    <x v="2"/>
    <s v="Vikram"/>
    <x v="5"/>
    <x v="3"/>
    <n v="77"/>
    <n v="99"/>
    <n v="15"/>
    <x v="1"/>
  </r>
  <r>
    <d v="2026-09-13T02:17:29"/>
    <x v="5"/>
    <x v="2"/>
    <s v="Sunita"/>
    <x v="11"/>
    <x v="2"/>
    <n v="288"/>
    <n v="91"/>
    <n v="7"/>
    <x v="0"/>
  </r>
  <r>
    <d v="2026-09-13T05:47:20"/>
    <x v="2"/>
    <x v="2"/>
    <s v="Priya"/>
    <x v="19"/>
    <x v="1"/>
    <n v="119"/>
    <n v="80"/>
    <n v="7"/>
    <x v="0"/>
  </r>
  <r>
    <d v="2026-09-13T09:17:11"/>
    <x v="1"/>
    <x v="3"/>
    <s v="Amit"/>
    <x v="4"/>
    <x v="0"/>
    <n v="369"/>
    <n v="52"/>
    <n v="7"/>
    <x v="1"/>
  </r>
  <r>
    <d v="2026-09-13T12:47:02"/>
    <x v="3"/>
    <x v="0"/>
    <s v="Amit"/>
    <x v="5"/>
    <x v="3"/>
    <n v="108"/>
    <n v="59"/>
    <n v="18"/>
    <x v="1"/>
  </r>
  <r>
    <d v="2026-09-13T16:16:53"/>
    <x v="2"/>
    <x v="0"/>
    <s v="Amit"/>
    <x v="13"/>
    <x v="3"/>
    <n v="176"/>
    <n v="71"/>
    <n v="13"/>
    <x v="2"/>
  </r>
  <r>
    <d v="2026-09-13T19:46:44"/>
    <x v="1"/>
    <x v="0"/>
    <s v="Sunita"/>
    <x v="19"/>
    <x v="0"/>
    <n v="401"/>
    <n v="96"/>
    <n v="17"/>
    <x v="2"/>
  </r>
  <r>
    <d v="2026-09-13T23:16:35"/>
    <x v="0"/>
    <x v="1"/>
    <s v="Amit"/>
    <x v="7"/>
    <x v="0"/>
    <n v="268"/>
    <n v="100"/>
    <n v="18"/>
    <x v="1"/>
  </r>
  <r>
    <d v="2026-09-14T02:46:26"/>
    <x v="6"/>
    <x v="4"/>
    <s v="Priya"/>
    <x v="9"/>
    <x v="3"/>
    <n v="283"/>
    <n v="72"/>
    <n v="20"/>
    <x v="1"/>
  </r>
  <r>
    <d v="2026-09-14T06:16:17"/>
    <x v="6"/>
    <x v="3"/>
    <s v="Sunita"/>
    <x v="18"/>
    <x v="1"/>
    <n v="422"/>
    <n v="95"/>
    <n v="11"/>
    <x v="0"/>
  </r>
  <r>
    <d v="2026-09-14T09:46:08"/>
    <x v="4"/>
    <x v="1"/>
    <s v="Priya"/>
    <x v="17"/>
    <x v="1"/>
    <n v="429"/>
    <n v="66"/>
    <n v="12"/>
    <x v="1"/>
  </r>
  <r>
    <d v="2026-09-14T13:15:59"/>
    <x v="3"/>
    <x v="3"/>
    <s v="Rahul"/>
    <x v="17"/>
    <x v="2"/>
    <n v="208"/>
    <n v="50"/>
    <n v="17"/>
    <x v="0"/>
  </r>
  <r>
    <d v="2026-09-14T16:45:50"/>
    <x v="6"/>
    <x v="3"/>
    <s v="Rahul"/>
    <x v="15"/>
    <x v="0"/>
    <n v="480"/>
    <n v="80"/>
    <n v="14"/>
    <x v="1"/>
  </r>
  <r>
    <d v="2026-09-14T20:15:41"/>
    <x v="4"/>
    <x v="4"/>
    <s v="Rahul"/>
    <x v="18"/>
    <x v="0"/>
    <n v="244"/>
    <n v="52"/>
    <n v="14"/>
    <x v="1"/>
  </r>
  <r>
    <d v="2026-09-14T23:45:32"/>
    <x v="3"/>
    <x v="0"/>
    <s v="Rahul"/>
    <x v="8"/>
    <x v="2"/>
    <n v="379"/>
    <n v="78"/>
    <n v="15"/>
    <x v="0"/>
  </r>
  <r>
    <d v="2026-09-15T03:15:23"/>
    <x v="5"/>
    <x v="4"/>
    <s v="Rahul"/>
    <x v="1"/>
    <x v="1"/>
    <n v="417"/>
    <n v="80"/>
    <n v="20"/>
    <x v="0"/>
  </r>
  <r>
    <d v="2026-09-15T06:45:14"/>
    <x v="1"/>
    <x v="4"/>
    <s v="Rahul"/>
    <x v="1"/>
    <x v="1"/>
    <n v="407"/>
    <n v="60"/>
    <n v="11"/>
    <x v="1"/>
  </r>
  <r>
    <d v="2026-09-15T10:15:05"/>
    <x v="5"/>
    <x v="2"/>
    <s v="Sunita"/>
    <x v="14"/>
    <x v="3"/>
    <n v="495"/>
    <n v="63"/>
    <n v="7"/>
    <x v="2"/>
  </r>
  <r>
    <d v="2026-09-15T13:44:55"/>
    <x v="1"/>
    <x v="1"/>
    <s v="Rahul"/>
    <x v="0"/>
    <x v="1"/>
    <n v="271"/>
    <n v="94"/>
    <n v="20"/>
    <x v="0"/>
  </r>
  <r>
    <d v="2026-09-15T17:14:46"/>
    <x v="5"/>
    <x v="2"/>
    <s v="Vikram"/>
    <x v="5"/>
    <x v="3"/>
    <n v="94"/>
    <n v="97"/>
    <n v="10"/>
    <x v="1"/>
  </r>
  <r>
    <d v="2026-09-15T20:44:37"/>
    <x v="7"/>
    <x v="1"/>
    <s v="Sunita"/>
    <x v="8"/>
    <x v="3"/>
    <n v="382"/>
    <n v="84"/>
    <n v="19"/>
    <x v="0"/>
  </r>
  <r>
    <d v="2026-09-16T00:14:28"/>
    <x v="1"/>
    <x v="4"/>
    <s v="Sunita"/>
    <x v="17"/>
    <x v="0"/>
    <n v="226"/>
    <n v="75"/>
    <n v="15"/>
    <x v="1"/>
  </r>
  <r>
    <d v="2026-09-16T03:44:19"/>
    <x v="4"/>
    <x v="1"/>
    <s v="Vikram"/>
    <x v="10"/>
    <x v="2"/>
    <n v="463"/>
    <n v="67"/>
    <n v="8"/>
    <x v="2"/>
  </r>
  <r>
    <d v="2026-09-16T07:14:10"/>
    <x v="4"/>
    <x v="2"/>
    <s v="Rahul"/>
    <x v="12"/>
    <x v="0"/>
    <n v="133"/>
    <n v="84"/>
    <n v="9"/>
    <x v="1"/>
  </r>
  <r>
    <d v="2026-09-16T10:44:01"/>
    <x v="2"/>
    <x v="0"/>
    <s v="Priya"/>
    <x v="14"/>
    <x v="2"/>
    <n v="147"/>
    <n v="67"/>
    <n v="5"/>
    <x v="0"/>
  </r>
  <r>
    <d v="2026-09-16T14:13:52"/>
    <x v="3"/>
    <x v="0"/>
    <s v="Priya"/>
    <x v="19"/>
    <x v="0"/>
    <n v="320"/>
    <n v="69"/>
    <n v="12"/>
    <x v="1"/>
  </r>
  <r>
    <d v="2026-09-16T17:43:43"/>
    <x v="7"/>
    <x v="2"/>
    <s v="Sunita"/>
    <x v="2"/>
    <x v="0"/>
    <n v="125"/>
    <n v="59"/>
    <n v="10"/>
    <x v="1"/>
  </r>
  <r>
    <d v="2026-09-16T21:13:34"/>
    <x v="0"/>
    <x v="0"/>
    <s v="Sunita"/>
    <x v="7"/>
    <x v="2"/>
    <n v="65"/>
    <n v="64"/>
    <n v="14"/>
    <x v="1"/>
  </r>
  <r>
    <d v="2026-09-17T00:43:25"/>
    <x v="7"/>
    <x v="4"/>
    <s v="Priya"/>
    <x v="11"/>
    <x v="2"/>
    <n v="256"/>
    <n v="71"/>
    <n v="7"/>
    <x v="2"/>
  </r>
  <r>
    <d v="2026-09-17T04:13:16"/>
    <x v="0"/>
    <x v="0"/>
    <s v="Vikram"/>
    <x v="13"/>
    <x v="0"/>
    <n v="189"/>
    <n v="51"/>
    <n v="19"/>
    <x v="2"/>
  </r>
  <r>
    <d v="2026-09-17T07:43:07"/>
    <x v="5"/>
    <x v="2"/>
    <s v="Priya"/>
    <x v="3"/>
    <x v="0"/>
    <n v="252"/>
    <n v="54"/>
    <n v="12"/>
    <x v="1"/>
  </r>
  <r>
    <d v="2026-09-17T11:12:58"/>
    <x v="0"/>
    <x v="1"/>
    <s v="Vikram"/>
    <x v="11"/>
    <x v="2"/>
    <n v="230"/>
    <n v="52"/>
    <n v="7"/>
    <x v="1"/>
  </r>
  <r>
    <d v="2026-09-17T14:42:49"/>
    <x v="0"/>
    <x v="0"/>
    <s v="Sunita"/>
    <x v="1"/>
    <x v="2"/>
    <n v="450"/>
    <n v="91"/>
    <n v="15"/>
    <x v="0"/>
  </r>
  <r>
    <d v="2026-09-17T18:12:40"/>
    <x v="4"/>
    <x v="1"/>
    <s v="Vikram"/>
    <x v="16"/>
    <x v="0"/>
    <n v="260"/>
    <n v="70"/>
    <n v="10"/>
    <x v="0"/>
  </r>
  <r>
    <d v="2026-09-17T21:42:31"/>
    <x v="5"/>
    <x v="2"/>
    <s v="Vikram"/>
    <x v="2"/>
    <x v="0"/>
    <n v="169"/>
    <n v="71"/>
    <n v="12"/>
    <x v="2"/>
  </r>
  <r>
    <d v="2026-09-18T01:12:22"/>
    <x v="7"/>
    <x v="2"/>
    <s v="Priya"/>
    <x v="0"/>
    <x v="3"/>
    <n v="196"/>
    <n v="94"/>
    <n v="10"/>
    <x v="0"/>
  </r>
  <r>
    <d v="2026-09-18T04:42:13"/>
    <x v="5"/>
    <x v="3"/>
    <s v="Sunita"/>
    <x v="11"/>
    <x v="1"/>
    <n v="73"/>
    <n v="76"/>
    <n v="7"/>
    <x v="2"/>
  </r>
  <r>
    <d v="2026-09-18T08:12:04"/>
    <x v="2"/>
    <x v="0"/>
    <s v="Priya"/>
    <x v="18"/>
    <x v="1"/>
    <n v="498"/>
    <n v="86"/>
    <n v="20"/>
    <x v="1"/>
  </r>
  <r>
    <d v="2026-09-18T11:41:55"/>
    <x v="3"/>
    <x v="3"/>
    <s v="Rahul"/>
    <x v="1"/>
    <x v="2"/>
    <n v="448"/>
    <n v="75"/>
    <n v="20"/>
    <x v="0"/>
  </r>
  <r>
    <d v="2026-09-18T15:11:46"/>
    <x v="4"/>
    <x v="4"/>
    <s v="Sunita"/>
    <x v="18"/>
    <x v="1"/>
    <n v="313"/>
    <n v="54"/>
    <n v="15"/>
    <x v="2"/>
  </r>
  <r>
    <d v="2026-09-18T18:41:36"/>
    <x v="1"/>
    <x v="4"/>
    <s v="Vikram"/>
    <x v="3"/>
    <x v="0"/>
    <n v="429"/>
    <n v="87"/>
    <n v="14"/>
    <x v="1"/>
  </r>
  <r>
    <d v="2026-09-18T22:11:27"/>
    <x v="6"/>
    <x v="4"/>
    <s v="Amit"/>
    <x v="12"/>
    <x v="2"/>
    <n v="145"/>
    <n v="71"/>
    <n v="12"/>
    <x v="0"/>
  </r>
  <r>
    <d v="2026-09-19T01:41:18"/>
    <x v="7"/>
    <x v="3"/>
    <s v="Sunita"/>
    <x v="3"/>
    <x v="2"/>
    <n v="125"/>
    <n v="86"/>
    <n v="10"/>
    <x v="0"/>
  </r>
  <r>
    <d v="2026-09-19T05:11:09"/>
    <x v="2"/>
    <x v="3"/>
    <s v="Priya"/>
    <x v="6"/>
    <x v="3"/>
    <n v="454"/>
    <n v="54"/>
    <n v="6"/>
    <x v="0"/>
  </r>
  <r>
    <d v="2026-09-19T08:41:00"/>
    <x v="1"/>
    <x v="2"/>
    <s v="Rahul"/>
    <x v="4"/>
    <x v="2"/>
    <n v="207"/>
    <n v="52"/>
    <n v="13"/>
    <x v="0"/>
  </r>
  <r>
    <d v="2026-09-19T12:10:51"/>
    <x v="0"/>
    <x v="1"/>
    <s v="Priya"/>
    <x v="11"/>
    <x v="3"/>
    <n v="325"/>
    <n v="94"/>
    <n v="13"/>
    <x v="2"/>
  </r>
  <r>
    <d v="2026-09-19T15:40:42"/>
    <x v="1"/>
    <x v="2"/>
    <s v="Priya"/>
    <x v="8"/>
    <x v="0"/>
    <n v="218"/>
    <n v="53"/>
    <n v="19"/>
    <x v="0"/>
  </r>
  <r>
    <d v="2026-09-19T19:10:33"/>
    <x v="4"/>
    <x v="0"/>
    <s v="Amit"/>
    <x v="4"/>
    <x v="1"/>
    <n v="366"/>
    <n v="87"/>
    <n v="19"/>
    <x v="2"/>
  </r>
  <r>
    <d v="2026-09-19T22:40:24"/>
    <x v="7"/>
    <x v="4"/>
    <s v="Vikram"/>
    <x v="6"/>
    <x v="1"/>
    <n v="255"/>
    <n v="94"/>
    <n v="13"/>
    <x v="1"/>
  </r>
  <r>
    <d v="2026-09-20T02:10:15"/>
    <x v="0"/>
    <x v="2"/>
    <s v="Sunita"/>
    <x v="8"/>
    <x v="3"/>
    <n v="407"/>
    <n v="97"/>
    <n v="16"/>
    <x v="1"/>
  </r>
  <r>
    <d v="2026-09-20T05:40:06"/>
    <x v="4"/>
    <x v="3"/>
    <s v="Amit"/>
    <x v="18"/>
    <x v="1"/>
    <n v="275"/>
    <n v="94"/>
    <n v="5"/>
    <x v="1"/>
  </r>
  <r>
    <d v="2026-09-20T09:09:57"/>
    <x v="7"/>
    <x v="2"/>
    <s v="Vikram"/>
    <x v="5"/>
    <x v="2"/>
    <n v="84"/>
    <n v="68"/>
    <n v="12"/>
    <x v="0"/>
  </r>
  <r>
    <d v="2026-09-20T12:39:48"/>
    <x v="6"/>
    <x v="0"/>
    <s v="Vikram"/>
    <x v="9"/>
    <x v="1"/>
    <n v="211"/>
    <n v="76"/>
    <n v="9"/>
    <x v="0"/>
  </r>
  <r>
    <d v="2026-09-20T16:09:39"/>
    <x v="1"/>
    <x v="3"/>
    <s v="Rahul"/>
    <x v="6"/>
    <x v="2"/>
    <n v="401"/>
    <n v="76"/>
    <n v="11"/>
    <x v="0"/>
  </r>
  <r>
    <d v="2026-09-20T19:39:30"/>
    <x v="5"/>
    <x v="1"/>
    <s v="Priya"/>
    <x v="5"/>
    <x v="0"/>
    <n v="100"/>
    <n v="57"/>
    <n v="20"/>
    <x v="1"/>
  </r>
  <r>
    <d v="2026-09-20T23:09:21"/>
    <x v="1"/>
    <x v="2"/>
    <s v="Rahul"/>
    <x v="12"/>
    <x v="2"/>
    <n v="260"/>
    <n v="75"/>
    <n v="17"/>
    <x v="0"/>
  </r>
  <r>
    <d v="2026-09-21T02:39:12"/>
    <x v="4"/>
    <x v="3"/>
    <s v="Amit"/>
    <x v="4"/>
    <x v="3"/>
    <n v="399"/>
    <n v="98"/>
    <n v="20"/>
    <x v="2"/>
  </r>
  <r>
    <d v="2026-09-21T06:09:03"/>
    <x v="5"/>
    <x v="4"/>
    <s v="Vikram"/>
    <x v="1"/>
    <x v="3"/>
    <n v="266"/>
    <n v="65"/>
    <n v="16"/>
    <x v="0"/>
  </r>
  <r>
    <d v="2026-09-21T09:38:54"/>
    <x v="0"/>
    <x v="1"/>
    <s v="Amit"/>
    <x v="3"/>
    <x v="2"/>
    <n v="118"/>
    <n v="64"/>
    <n v="7"/>
    <x v="2"/>
  </r>
  <r>
    <d v="2026-09-21T13:08:45"/>
    <x v="0"/>
    <x v="0"/>
    <s v="Sunita"/>
    <x v="19"/>
    <x v="0"/>
    <n v="230"/>
    <n v="64"/>
    <n v="18"/>
    <x v="1"/>
  </r>
  <r>
    <d v="2026-09-21T16:38:36"/>
    <x v="4"/>
    <x v="3"/>
    <s v="Amit"/>
    <x v="12"/>
    <x v="2"/>
    <n v="304"/>
    <n v="69"/>
    <n v="12"/>
    <x v="2"/>
  </r>
  <r>
    <d v="2026-09-21T20:08:27"/>
    <x v="2"/>
    <x v="2"/>
    <s v="Rahul"/>
    <x v="2"/>
    <x v="2"/>
    <n v="142"/>
    <n v="86"/>
    <n v="17"/>
    <x v="0"/>
  </r>
  <r>
    <d v="2026-09-21T23:38:17"/>
    <x v="0"/>
    <x v="2"/>
    <s v="Amit"/>
    <x v="13"/>
    <x v="2"/>
    <n v="172"/>
    <n v="81"/>
    <n v="12"/>
    <x v="0"/>
  </r>
  <r>
    <d v="2026-09-22T03:08:08"/>
    <x v="1"/>
    <x v="0"/>
    <s v="Priya"/>
    <x v="8"/>
    <x v="2"/>
    <n v="349"/>
    <n v="56"/>
    <n v="18"/>
    <x v="0"/>
  </r>
  <r>
    <d v="2026-09-22T06:37:59"/>
    <x v="3"/>
    <x v="0"/>
    <s v="Sunita"/>
    <x v="7"/>
    <x v="0"/>
    <n v="53"/>
    <n v="89"/>
    <n v="10"/>
    <x v="2"/>
  </r>
  <r>
    <d v="2026-09-22T10:07:50"/>
    <x v="5"/>
    <x v="2"/>
    <s v="Priya"/>
    <x v="2"/>
    <x v="0"/>
    <n v="466"/>
    <n v="91"/>
    <n v="5"/>
    <x v="1"/>
  </r>
  <r>
    <d v="2026-09-22T13:37:41"/>
    <x v="7"/>
    <x v="0"/>
    <s v="Sunita"/>
    <x v="13"/>
    <x v="0"/>
    <n v="361"/>
    <n v="93"/>
    <n v="11"/>
    <x v="2"/>
  </r>
  <r>
    <d v="2026-09-22T17:07:32"/>
    <x v="5"/>
    <x v="4"/>
    <s v="Priya"/>
    <x v="2"/>
    <x v="0"/>
    <n v="159"/>
    <n v="88"/>
    <n v="8"/>
    <x v="2"/>
  </r>
  <r>
    <d v="2026-09-22T20:37:23"/>
    <x v="1"/>
    <x v="0"/>
    <s v="Priya"/>
    <x v="16"/>
    <x v="2"/>
    <n v="473"/>
    <n v="58"/>
    <n v="9"/>
    <x v="0"/>
  </r>
  <r>
    <d v="2026-09-23T00:07:14"/>
    <x v="5"/>
    <x v="2"/>
    <s v="Vikram"/>
    <x v="3"/>
    <x v="1"/>
    <n v="138"/>
    <n v="95"/>
    <n v="18"/>
    <x v="0"/>
  </r>
  <r>
    <d v="2026-09-23T03:37:05"/>
    <x v="7"/>
    <x v="0"/>
    <s v="Vikram"/>
    <x v="3"/>
    <x v="1"/>
    <n v="441"/>
    <n v="72"/>
    <n v="19"/>
    <x v="1"/>
  </r>
  <r>
    <d v="2026-09-23T07:06:56"/>
    <x v="1"/>
    <x v="4"/>
    <s v="Vikram"/>
    <x v="5"/>
    <x v="2"/>
    <n v="474"/>
    <n v="61"/>
    <n v="16"/>
    <x v="0"/>
  </r>
  <r>
    <d v="2026-09-23T10:36:47"/>
    <x v="2"/>
    <x v="4"/>
    <s v="Sunita"/>
    <x v="5"/>
    <x v="2"/>
    <n v="280"/>
    <n v="68"/>
    <n v="20"/>
    <x v="0"/>
  </r>
  <r>
    <d v="2026-09-23T14:06:38"/>
    <x v="0"/>
    <x v="2"/>
    <s v="Amit"/>
    <x v="19"/>
    <x v="1"/>
    <n v="306"/>
    <n v="99"/>
    <n v="10"/>
    <x v="2"/>
  </r>
  <r>
    <d v="2026-09-23T17:36:29"/>
    <x v="4"/>
    <x v="4"/>
    <s v="Rahul"/>
    <x v="15"/>
    <x v="1"/>
    <n v="165"/>
    <n v="83"/>
    <n v="16"/>
    <x v="1"/>
  </r>
  <r>
    <d v="2026-09-23T21:06:20"/>
    <x v="3"/>
    <x v="2"/>
    <s v="Amit"/>
    <x v="2"/>
    <x v="3"/>
    <n v="124"/>
    <n v="58"/>
    <n v="12"/>
    <x v="1"/>
  </r>
  <r>
    <d v="2026-09-24T00:36:11"/>
    <x v="1"/>
    <x v="4"/>
    <s v="Amit"/>
    <x v="8"/>
    <x v="0"/>
    <n v="243"/>
    <n v="55"/>
    <n v="17"/>
    <x v="1"/>
  </r>
  <r>
    <d v="2026-09-24T04:06:02"/>
    <x v="0"/>
    <x v="4"/>
    <s v="Rahul"/>
    <x v="19"/>
    <x v="0"/>
    <n v="95"/>
    <n v="53"/>
    <n v="20"/>
    <x v="0"/>
  </r>
  <r>
    <d v="2026-09-24T07:35:53"/>
    <x v="6"/>
    <x v="1"/>
    <s v="Vikram"/>
    <x v="10"/>
    <x v="3"/>
    <n v="358"/>
    <n v="85"/>
    <n v="11"/>
    <x v="1"/>
  </r>
  <r>
    <d v="2026-09-24T11:05:44"/>
    <x v="1"/>
    <x v="4"/>
    <s v="Vikram"/>
    <x v="17"/>
    <x v="1"/>
    <n v="236"/>
    <n v="67"/>
    <n v="15"/>
    <x v="1"/>
  </r>
  <r>
    <d v="2026-09-24T14:35:35"/>
    <x v="5"/>
    <x v="1"/>
    <s v="Rahul"/>
    <x v="3"/>
    <x v="0"/>
    <n v="187"/>
    <n v="73"/>
    <n v="7"/>
    <x v="0"/>
  </r>
  <r>
    <d v="2026-09-24T18:05:26"/>
    <x v="0"/>
    <x v="0"/>
    <s v="Vikram"/>
    <x v="1"/>
    <x v="2"/>
    <n v="390"/>
    <n v="79"/>
    <n v="9"/>
    <x v="2"/>
  </r>
  <r>
    <d v="2026-09-24T21:35:17"/>
    <x v="7"/>
    <x v="1"/>
    <s v="Vikram"/>
    <x v="6"/>
    <x v="2"/>
    <n v="454"/>
    <n v="96"/>
    <n v="5"/>
    <x v="0"/>
  </r>
  <r>
    <d v="2026-09-25T01:05:08"/>
    <x v="7"/>
    <x v="2"/>
    <s v="Amit"/>
    <x v="5"/>
    <x v="0"/>
    <n v="321"/>
    <n v="93"/>
    <n v="13"/>
    <x v="2"/>
  </r>
  <r>
    <d v="2026-09-25T04:34:58"/>
    <x v="0"/>
    <x v="0"/>
    <s v="Vikram"/>
    <x v="3"/>
    <x v="3"/>
    <n v="91"/>
    <n v="99"/>
    <n v="8"/>
    <x v="0"/>
  </r>
  <r>
    <d v="2026-09-25T08:04:49"/>
    <x v="5"/>
    <x v="2"/>
    <s v="Priya"/>
    <x v="17"/>
    <x v="0"/>
    <n v="413"/>
    <n v="69"/>
    <n v="5"/>
    <x v="2"/>
  </r>
  <r>
    <d v="2026-09-25T11:34:40"/>
    <x v="7"/>
    <x v="2"/>
    <s v="Vikram"/>
    <x v="6"/>
    <x v="0"/>
    <n v="356"/>
    <n v="86"/>
    <n v="16"/>
    <x v="2"/>
  </r>
  <r>
    <d v="2026-09-25T15:04:31"/>
    <x v="1"/>
    <x v="2"/>
    <s v="Amit"/>
    <x v="19"/>
    <x v="0"/>
    <n v="73"/>
    <n v="66"/>
    <n v="11"/>
    <x v="1"/>
  </r>
  <r>
    <d v="2026-09-25T18:34:22"/>
    <x v="6"/>
    <x v="1"/>
    <s v="Sunita"/>
    <x v="10"/>
    <x v="2"/>
    <n v="399"/>
    <n v="62"/>
    <n v="12"/>
    <x v="2"/>
  </r>
  <r>
    <d v="2026-09-25T22:04:13"/>
    <x v="7"/>
    <x v="4"/>
    <s v="Priya"/>
    <x v="2"/>
    <x v="2"/>
    <n v="211"/>
    <n v="51"/>
    <n v="20"/>
    <x v="0"/>
  </r>
  <r>
    <d v="2026-09-26T01:34:04"/>
    <x v="2"/>
    <x v="3"/>
    <s v="Sunita"/>
    <x v="1"/>
    <x v="1"/>
    <n v="242"/>
    <n v="90"/>
    <n v="20"/>
    <x v="2"/>
  </r>
  <r>
    <d v="2026-09-26T05:03:55"/>
    <x v="4"/>
    <x v="1"/>
    <s v="Amit"/>
    <x v="8"/>
    <x v="1"/>
    <n v="417"/>
    <n v="82"/>
    <n v="13"/>
    <x v="2"/>
  </r>
  <r>
    <d v="2026-09-26T08:33:46"/>
    <x v="7"/>
    <x v="0"/>
    <s v="Amit"/>
    <x v="4"/>
    <x v="0"/>
    <n v="266"/>
    <n v="57"/>
    <n v="7"/>
    <x v="0"/>
  </r>
  <r>
    <d v="2026-09-26T12:03:37"/>
    <x v="4"/>
    <x v="2"/>
    <s v="Sunita"/>
    <x v="9"/>
    <x v="2"/>
    <n v="331"/>
    <n v="95"/>
    <n v="17"/>
    <x v="0"/>
  </r>
  <r>
    <d v="2026-09-26T15:33:28"/>
    <x v="5"/>
    <x v="1"/>
    <s v="Amit"/>
    <x v="15"/>
    <x v="3"/>
    <n v="62"/>
    <n v="91"/>
    <n v="20"/>
    <x v="1"/>
  </r>
  <r>
    <d v="2026-09-26T19:03:19"/>
    <x v="1"/>
    <x v="3"/>
    <s v="Amit"/>
    <x v="1"/>
    <x v="0"/>
    <n v="87"/>
    <n v="64"/>
    <n v="18"/>
    <x v="0"/>
  </r>
  <r>
    <d v="2026-09-26T22:33:10"/>
    <x v="7"/>
    <x v="0"/>
    <s v="Priya"/>
    <x v="13"/>
    <x v="1"/>
    <n v="153"/>
    <n v="54"/>
    <n v="17"/>
    <x v="0"/>
  </r>
  <r>
    <d v="2026-09-27T02:03:01"/>
    <x v="7"/>
    <x v="1"/>
    <s v="Sunita"/>
    <x v="16"/>
    <x v="2"/>
    <n v="472"/>
    <n v="72"/>
    <n v="14"/>
    <x v="2"/>
  </r>
  <r>
    <d v="2026-09-27T05:32:52"/>
    <x v="0"/>
    <x v="4"/>
    <s v="Priya"/>
    <x v="13"/>
    <x v="1"/>
    <n v="243"/>
    <n v="93"/>
    <n v="6"/>
    <x v="1"/>
  </r>
  <r>
    <d v="2026-09-27T09:02:43"/>
    <x v="1"/>
    <x v="4"/>
    <s v="Vikram"/>
    <x v="3"/>
    <x v="1"/>
    <n v="86"/>
    <n v="68"/>
    <n v="8"/>
    <x v="0"/>
  </r>
  <r>
    <d v="2026-09-27T12:32:34"/>
    <x v="5"/>
    <x v="3"/>
    <s v="Sunita"/>
    <x v="14"/>
    <x v="1"/>
    <n v="430"/>
    <n v="64"/>
    <n v="5"/>
    <x v="2"/>
  </r>
  <r>
    <d v="2026-09-27T16:02:25"/>
    <x v="3"/>
    <x v="3"/>
    <s v="Priya"/>
    <x v="8"/>
    <x v="2"/>
    <n v="335"/>
    <n v="85"/>
    <n v="15"/>
    <x v="2"/>
  </r>
  <r>
    <d v="2026-09-27T19:32:16"/>
    <x v="4"/>
    <x v="4"/>
    <s v="Priya"/>
    <x v="10"/>
    <x v="2"/>
    <n v="56"/>
    <n v="96"/>
    <n v="8"/>
    <x v="2"/>
  </r>
  <r>
    <d v="2026-09-27T23:02:07"/>
    <x v="1"/>
    <x v="4"/>
    <s v="Rahul"/>
    <x v="4"/>
    <x v="1"/>
    <n v="181"/>
    <n v="70"/>
    <n v="5"/>
    <x v="1"/>
  </r>
  <r>
    <d v="2026-09-28T02:31:58"/>
    <x v="2"/>
    <x v="3"/>
    <s v="Vikram"/>
    <x v="19"/>
    <x v="3"/>
    <n v="59"/>
    <n v="51"/>
    <n v="12"/>
    <x v="0"/>
  </r>
  <r>
    <d v="2026-09-28T06:01:49"/>
    <x v="7"/>
    <x v="3"/>
    <s v="Sunita"/>
    <x v="6"/>
    <x v="1"/>
    <n v="482"/>
    <n v="65"/>
    <n v="16"/>
    <x v="2"/>
  </r>
  <r>
    <d v="2026-09-28T09:31:39"/>
    <x v="0"/>
    <x v="2"/>
    <s v="Amit"/>
    <x v="6"/>
    <x v="2"/>
    <n v="429"/>
    <n v="64"/>
    <n v="16"/>
    <x v="1"/>
  </r>
  <r>
    <d v="2026-09-28T13:01:30"/>
    <x v="7"/>
    <x v="2"/>
    <s v="Rahul"/>
    <x v="13"/>
    <x v="2"/>
    <n v="346"/>
    <n v="62"/>
    <n v="18"/>
    <x v="0"/>
  </r>
  <r>
    <d v="2026-09-28T16:31:21"/>
    <x v="3"/>
    <x v="2"/>
    <s v="Vikram"/>
    <x v="10"/>
    <x v="2"/>
    <n v="64"/>
    <n v="53"/>
    <n v="9"/>
    <x v="2"/>
  </r>
  <r>
    <d v="2026-09-28T20:01:12"/>
    <x v="6"/>
    <x v="0"/>
    <s v="Rahul"/>
    <x v="9"/>
    <x v="1"/>
    <n v="83"/>
    <n v="66"/>
    <n v="15"/>
    <x v="0"/>
  </r>
  <r>
    <d v="2026-09-28T23:31:03"/>
    <x v="3"/>
    <x v="4"/>
    <s v="Sunita"/>
    <x v="14"/>
    <x v="1"/>
    <n v="302"/>
    <n v="89"/>
    <n v="8"/>
    <x v="1"/>
  </r>
  <r>
    <d v="2026-09-29T03:00:54"/>
    <x v="7"/>
    <x v="4"/>
    <s v="Amit"/>
    <x v="8"/>
    <x v="3"/>
    <n v="461"/>
    <n v="53"/>
    <n v="11"/>
    <x v="2"/>
  </r>
  <r>
    <d v="2026-09-29T06:30:45"/>
    <x v="3"/>
    <x v="2"/>
    <s v="Sunita"/>
    <x v="9"/>
    <x v="2"/>
    <n v="192"/>
    <n v="77"/>
    <n v="9"/>
    <x v="1"/>
  </r>
  <r>
    <d v="2026-09-29T10:00:36"/>
    <x v="7"/>
    <x v="0"/>
    <s v="Sunita"/>
    <x v="10"/>
    <x v="2"/>
    <n v="126"/>
    <n v="60"/>
    <n v="17"/>
    <x v="0"/>
  </r>
  <r>
    <d v="2026-09-29T13:30:27"/>
    <x v="3"/>
    <x v="0"/>
    <s v="Sunita"/>
    <x v="13"/>
    <x v="0"/>
    <n v="301"/>
    <n v="57"/>
    <n v="8"/>
    <x v="0"/>
  </r>
  <r>
    <d v="2026-09-29T17:00:18"/>
    <x v="7"/>
    <x v="2"/>
    <s v="Rahul"/>
    <x v="15"/>
    <x v="0"/>
    <n v="244"/>
    <n v="86"/>
    <n v="5"/>
    <x v="0"/>
  </r>
  <r>
    <d v="2026-09-29T20:30:09"/>
    <x v="4"/>
    <x v="4"/>
    <s v="Amit"/>
    <x v="10"/>
    <x v="2"/>
    <n v="463"/>
    <n v="81"/>
    <n v="11"/>
    <x v="0"/>
  </r>
  <r>
    <d v="2026-09-30T00:00:00"/>
    <x v="5"/>
    <x v="2"/>
    <s v="Rahul"/>
    <x v="8"/>
    <x v="1"/>
    <n v="352"/>
    <n v="88"/>
    <n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118EAE-B0AC-4634-A677-26F3D827C20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6" firstHeaderRow="1" firstDataRow="1" firstDataCol="1"/>
  <pivotFields count="10">
    <pivotField numFmtId="164" showAll="0"/>
    <pivotField showAll="0">
      <items count="9">
        <item x="7"/>
        <item x="4"/>
        <item x="6"/>
        <item x="5"/>
        <item x="2"/>
        <item x="1"/>
        <item x="3"/>
        <item x="0"/>
        <item t="default"/>
      </items>
    </pivotField>
    <pivotField showAll="0"/>
    <pivotField showAll="0"/>
    <pivotField showAll="0">
      <items count="21">
        <item x="5"/>
        <item x="14"/>
        <item x="7"/>
        <item x="13"/>
        <item x="3"/>
        <item x="4"/>
        <item x="12"/>
        <item x="18"/>
        <item x="11"/>
        <item x="1"/>
        <item x="10"/>
        <item x="16"/>
        <item x="9"/>
        <item x="19"/>
        <item x="8"/>
        <item x="15"/>
        <item x="2"/>
        <item x="17"/>
        <item x="6"/>
        <item x="0"/>
        <item t="default"/>
      </items>
    </pivotField>
    <pivotField axis="axisRow" dataField="1" showAll="0">
      <items count="5">
        <item x="0"/>
        <item x="3"/>
        <item x="2"/>
        <item x="1"/>
        <item t="default"/>
      </items>
    </pivotField>
    <pivotField showAll="0"/>
    <pivotField showAll="0"/>
    <pivotField showAll="0"/>
    <pivotField showAll="0">
      <items count="4">
        <item x="2"/>
        <item x="0"/>
        <item x="1"/>
        <item t="default"/>
      </items>
    </pivotField>
  </pivotFields>
  <rowFields count="1">
    <field x="5"/>
  </rowFields>
  <rowItems count="5">
    <i>
      <x/>
    </i>
    <i>
      <x v="1"/>
    </i>
    <i>
      <x v="2"/>
    </i>
    <i>
      <x v="3"/>
    </i>
    <i t="grand">
      <x/>
    </i>
  </rowItems>
  <colItems count="1">
    <i/>
  </colItems>
  <dataFields count="1">
    <dataField name="Count of Waste_Type" fld="5" subtotal="count" baseField="0" baseItem="0"/>
  </dataFields>
  <chartFormats count="5">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5" count="1" selected="0">
            <x v="0"/>
          </reference>
        </references>
      </pivotArea>
    </chartFormat>
    <chartFormat chart="5" format="12">
      <pivotArea type="data" outline="0" fieldPosition="0">
        <references count="2">
          <reference field="4294967294" count="1" selected="0">
            <x v="0"/>
          </reference>
          <reference field="5" count="1" selected="0">
            <x v="1"/>
          </reference>
        </references>
      </pivotArea>
    </chartFormat>
    <chartFormat chart="5" format="13">
      <pivotArea type="data" outline="0" fieldPosition="0">
        <references count="2">
          <reference field="4294967294" count="1" selected="0">
            <x v="0"/>
          </reference>
          <reference field="5" count="1" selected="0">
            <x v="2"/>
          </reference>
        </references>
      </pivotArea>
    </chartFormat>
    <chartFormat chart="5"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72F571-74D4-4256-A433-C4898F5FFFD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1:M7" firstHeaderRow="1" firstDataRow="1" firstDataCol="1"/>
  <pivotFields count="10">
    <pivotField numFmtId="164" showAll="0"/>
    <pivotField showAll="0">
      <items count="9">
        <item x="7"/>
        <item x="4"/>
        <item x="6"/>
        <item x="5"/>
        <item x="2"/>
        <item x="1"/>
        <item x="3"/>
        <item x="0"/>
        <item t="default"/>
      </items>
    </pivotField>
    <pivotField axis="axisRow" showAll="0">
      <items count="6">
        <item x="0"/>
        <item x="3"/>
        <item x="4"/>
        <item x="2"/>
        <item x="1"/>
        <item t="default"/>
      </items>
    </pivotField>
    <pivotField showAll="0"/>
    <pivotField dataField="1" showAll="0">
      <items count="21">
        <item x="5"/>
        <item x="14"/>
        <item x="7"/>
        <item x="13"/>
        <item x="3"/>
        <item x="4"/>
        <item x="12"/>
        <item x="18"/>
        <item x="11"/>
        <item x="1"/>
        <item x="10"/>
        <item x="16"/>
        <item x="9"/>
        <item x="19"/>
        <item x="8"/>
        <item x="15"/>
        <item x="2"/>
        <item x="17"/>
        <item x="6"/>
        <item x="0"/>
        <item t="default"/>
      </items>
    </pivotField>
    <pivotField showAll="0">
      <items count="5">
        <item x="0"/>
        <item x="3"/>
        <item x="2"/>
        <item x="1"/>
        <item t="default"/>
      </items>
    </pivotField>
    <pivotField showAll="0"/>
    <pivotField showAll="0"/>
    <pivotField showAll="0"/>
    <pivotField showAll="0">
      <items count="4">
        <item x="2"/>
        <item x="0"/>
        <item x="1"/>
        <item t="default"/>
      </items>
    </pivotField>
  </pivotFields>
  <rowFields count="1">
    <field x="2"/>
  </rowFields>
  <rowItems count="6">
    <i>
      <x/>
    </i>
    <i>
      <x v="1"/>
    </i>
    <i>
      <x v="2"/>
    </i>
    <i>
      <x v="3"/>
    </i>
    <i>
      <x v="4"/>
    </i>
    <i t="grand">
      <x/>
    </i>
  </rowItems>
  <colItems count="1">
    <i/>
  </colItems>
  <dataFields count="1">
    <dataField name="Count of Truck_ID" fld="4"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18FF7D-AEDF-4413-892B-463B3282314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K34" firstHeaderRow="1" firstDataRow="1" firstDataCol="1"/>
  <pivotFields count="10">
    <pivotField numFmtId="164" showAll="0"/>
    <pivotField axis="axisRow" showAll="0">
      <items count="9">
        <item x="7"/>
        <item x="4"/>
        <item x="6"/>
        <item x="5"/>
        <item x="2"/>
        <item x="1"/>
        <item x="3"/>
        <item x="0"/>
        <item t="default"/>
      </items>
    </pivotField>
    <pivotField showAll="0"/>
    <pivotField showAll="0"/>
    <pivotField showAll="0">
      <items count="21">
        <item x="5"/>
        <item x="14"/>
        <item x="7"/>
        <item x="13"/>
        <item x="3"/>
        <item x="4"/>
        <item x="12"/>
        <item x="18"/>
        <item x="11"/>
        <item x="1"/>
        <item x="10"/>
        <item x="16"/>
        <item x="9"/>
        <item x="19"/>
        <item x="8"/>
        <item x="15"/>
        <item x="2"/>
        <item x="17"/>
        <item x="6"/>
        <item x="0"/>
        <item t="default"/>
      </items>
    </pivotField>
    <pivotField showAll="0">
      <items count="5">
        <item x="0"/>
        <item x="3"/>
        <item x="2"/>
        <item x="1"/>
        <item t="default"/>
      </items>
    </pivotField>
    <pivotField dataField="1" showAll="0"/>
    <pivotField showAll="0"/>
    <pivotField showAll="0"/>
    <pivotField axis="axisRow" showAll="0">
      <items count="4">
        <item x="2"/>
        <item x="0"/>
        <item x="1"/>
        <item t="default"/>
      </items>
    </pivotField>
  </pivotFields>
  <rowFields count="2">
    <field x="1"/>
    <field x="9"/>
  </rowFields>
  <rowItems count="33">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i>
    <i r="1">
      <x v="1"/>
    </i>
    <i r="1">
      <x v="2"/>
    </i>
    <i t="grand">
      <x/>
    </i>
  </rowItems>
  <colItems count="1">
    <i/>
  </colItems>
  <dataFields count="1">
    <dataField name="Sum of Waste_Amount_kg" fld="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036ED9-01D8-4BDC-8F85-E270A3FF2D3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4:I25" firstHeaderRow="1" firstDataRow="1" firstDataCol="1"/>
  <pivotFields count="10">
    <pivotField numFmtId="164" showAll="0"/>
    <pivotField showAll="0">
      <items count="9">
        <item x="7"/>
        <item x="4"/>
        <item x="6"/>
        <item x="5"/>
        <item x="2"/>
        <item x="1"/>
        <item x="3"/>
        <item x="0"/>
        <item t="default"/>
      </items>
    </pivotField>
    <pivotField showAll="0"/>
    <pivotField showAll="0"/>
    <pivotField axis="axisRow" showAll="0">
      <items count="21">
        <item x="5"/>
        <item x="14"/>
        <item x="7"/>
        <item x="13"/>
        <item x="3"/>
        <item x="4"/>
        <item x="12"/>
        <item x="18"/>
        <item x="11"/>
        <item x="1"/>
        <item x="10"/>
        <item x="16"/>
        <item x="9"/>
        <item x="19"/>
        <item x="8"/>
        <item x="15"/>
        <item x="2"/>
        <item x="17"/>
        <item x="6"/>
        <item x="0"/>
        <item t="default"/>
      </items>
    </pivotField>
    <pivotField showAll="0">
      <items count="5">
        <item x="0"/>
        <item x="3"/>
        <item x="2"/>
        <item x="1"/>
        <item t="default"/>
      </items>
    </pivotField>
    <pivotField showAll="0"/>
    <pivotField dataField="1" showAll="0"/>
    <pivotField showAll="0"/>
    <pivotField showAll="0">
      <items count="4">
        <item x="2"/>
        <item x="0"/>
        <item x="1"/>
        <item t="default"/>
      </items>
    </pivotField>
  </pivotFields>
  <rowFields count="1">
    <field x="4"/>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Bin_Level_percent" fld="7" subtotal="average" baseField="9"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5E4AE4-69E5-4A6B-97B4-3FF57025B55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F5" firstHeaderRow="1" firstDataRow="1" firstDataCol="1"/>
  <pivotFields count="10">
    <pivotField numFmtId="164" showAll="0"/>
    <pivotField showAll="0">
      <items count="9">
        <item x="7"/>
        <item x="4"/>
        <item x="6"/>
        <item x="5"/>
        <item x="2"/>
        <item x="1"/>
        <item x="3"/>
        <item x="0"/>
        <item t="default"/>
      </items>
    </pivotField>
    <pivotField showAll="0"/>
    <pivotField showAll="0"/>
    <pivotField showAll="0">
      <items count="21">
        <item x="5"/>
        <item x="14"/>
        <item x="7"/>
        <item x="13"/>
        <item x="3"/>
        <item x="4"/>
        <item x="12"/>
        <item x="18"/>
        <item x="11"/>
        <item x="1"/>
        <item x="10"/>
        <item x="16"/>
        <item x="9"/>
        <item x="19"/>
        <item x="8"/>
        <item x="15"/>
        <item x="2"/>
        <item x="17"/>
        <item x="6"/>
        <item x="0"/>
        <item t="default"/>
      </items>
    </pivotField>
    <pivotField showAll="0">
      <items count="5">
        <item x="0"/>
        <item x="3"/>
        <item x="2"/>
        <item x="1"/>
        <item t="default"/>
      </items>
    </pivotField>
    <pivotField dataField="1" showAll="0"/>
    <pivotField showAll="0"/>
    <pivotField showAll="0"/>
    <pivotField axis="axisRow" showAll="0">
      <items count="4">
        <item x="2"/>
        <item x="0"/>
        <item x="1"/>
        <item t="default"/>
      </items>
    </pivotField>
  </pivotFields>
  <rowFields count="1">
    <field x="9"/>
  </rowFields>
  <rowItems count="4">
    <i>
      <x/>
    </i>
    <i>
      <x v="1"/>
    </i>
    <i>
      <x v="2"/>
    </i>
    <i t="grand">
      <x/>
    </i>
  </rowItems>
  <colItems count="1">
    <i/>
  </colItems>
  <dataFields count="1">
    <dataField name="Sum of Waste_Amount_kg" fld="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D6F431-6C99-460E-A256-BAAC9A4853E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1:D22" firstHeaderRow="1" firstDataRow="1" firstDataCol="1"/>
  <pivotFields count="10">
    <pivotField numFmtId="164" showAll="0"/>
    <pivotField showAll="0">
      <items count="9">
        <item x="7"/>
        <item x="4"/>
        <item x="6"/>
        <item x="5"/>
        <item x="2"/>
        <item x="1"/>
        <item x="3"/>
        <item x="0"/>
        <item t="default"/>
      </items>
    </pivotField>
    <pivotField showAll="0"/>
    <pivotField showAll="0"/>
    <pivotField axis="axisRow" showAll="0">
      <items count="21">
        <item x="5"/>
        <item x="14"/>
        <item x="7"/>
        <item x="13"/>
        <item x="3"/>
        <item x="4"/>
        <item x="12"/>
        <item x="18"/>
        <item x="11"/>
        <item x="1"/>
        <item x="10"/>
        <item x="16"/>
        <item x="9"/>
        <item x="19"/>
        <item x="8"/>
        <item x="15"/>
        <item x="2"/>
        <item x="17"/>
        <item x="6"/>
        <item x="0"/>
        <item t="default"/>
      </items>
    </pivotField>
    <pivotField showAll="0">
      <items count="5">
        <item x="0"/>
        <item x="3"/>
        <item x="2"/>
        <item x="1"/>
        <item t="default"/>
      </items>
    </pivotField>
    <pivotField dataField="1" showAll="0"/>
    <pivotField showAll="0"/>
    <pivotField showAll="0"/>
    <pivotField showAll="0">
      <items count="4">
        <item x="2"/>
        <item x="0"/>
        <item x="1"/>
        <item t="default"/>
      </items>
    </pivotField>
  </pivotFields>
  <rowFields count="1">
    <field x="4"/>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Waste_Amount_kg" fld="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6FD9DDF7-BC54-44E9-931B-5AF21ABC7EA2}" sourceName="Location">
  <pivotTables>
    <pivotTable tabId="2" name="PivotTable1"/>
    <pivotTable tabId="2" name="PivotTable2"/>
    <pivotTable tabId="2" name="PivotTable3"/>
    <pivotTable tabId="2" name="PivotTable4"/>
    <pivotTable tabId="2" name="PivotTable5"/>
    <pivotTable tabId="2" name="PivotTable6"/>
  </pivotTables>
  <data>
    <tabular pivotCacheId="301155956">
      <items count="8">
        <i x="7" s="1"/>
        <i x="4" s="1"/>
        <i x="6" s="1"/>
        <i x="5" s="1"/>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uck_ID" xr10:uid="{CA1C1C1F-66BD-4316-8E94-C96EA36294A2}" sourceName="Truck_ID">
  <pivotTables>
    <pivotTable tabId="2" name="PivotTable1"/>
    <pivotTable tabId="2" name="PivotTable2"/>
    <pivotTable tabId="2" name="PivotTable3"/>
    <pivotTable tabId="2" name="PivotTable4"/>
    <pivotTable tabId="2" name="PivotTable5"/>
    <pivotTable tabId="2" name="PivotTable6"/>
  </pivotTables>
  <data>
    <tabular pivotCacheId="301155956">
      <items count="20">
        <i x="5" s="1"/>
        <i x="14" s="1"/>
        <i x="7" s="1"/>
        <i x="13" s="1"/>
        <i x="3" s="1"/>
        <i x="4" s="1"/>
        <i x="12" s="1"/>
        <i x="18" s="1"/>
        <i x="11" s="1"/>
        <i x="1" s="1"/>
        <i x="10" s="1"/>
        <i x="16" s="1"/>
        <i x="9" s="1"/>
        <i x="19" s="1"/>
        <i x="8" s="1"/>
        <i x="15" s="1"/>
        <i x="2" s="1"/>
        <i x="17"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ste_Type" xr10:uid="{CB9D20A4-DC25-473E-8F26-7F2ACB5E86A8}" sourceName="Waste_Type">
  <pivotTables>
    <pivotTable tabId="2" name="PivotTable1"/>
    <pivotTable tabId="2" name="PivotTable2"/>
    <pivotTable tabId="2" name="PivotTable3"/>
    <pivotTable tabId="2" name="PivotTable4"/>
    <pivotTable tabId="2" name="PivotTable6"/>
    <pivotTable tabId="2" name="PivotTable5"/>
  </pivotTables>
  <data>
    <tabular pivotCacheId="301155956">
      <items count="4">
        <i x="0" s="1"/>
        <i x="3"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lection_Status" xr10:uid="{CD6A9865-5D7A-4CD6-B488-7578BF614D41}" sourceName="Collection_Status">
  <pivotTables>
    <pivotTable tabId="2" name="PivotTable1"/>
    <pivotTable tabId="2" name="PivotTable2"/>
    <pivotTable tabId="2" name="PivotTable3"/>
    <pivotTable tabId="2" name="PivotTable4"/>
    <pivotTable tabId="2" name="PivotTable5"/>
    <pivotTable tabId="2" name="PivotTable6"/>
  </pivotTables>
  <data>
    <tabular pivotCacheId="30115595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A6B8A8B1-0E56-4A38-84ED-8987D57D3F8C}" cache="Slicer_Location" caption="Location" style="SlicerStyleOther1 2" rowHeight="234950"/>
  <slicer name="Truck_ID" xr10:uid="{8DFA2ECF-2E2E-4DB3-A37C-827C10DB5B90}" cache="Slicer_Truck_ID" caption="Truck_ID" style="SlicerStyleOther1 2" rowHeight="234950"/>
  <slicer name="Waste_Type" xr10:uid="{097DBEF2-2DF0-4B5B-91E8-E41DA8ADDBEA}" cache="Slicer_Waste_Type" caption="Waste_Type" style="SlicerStyleOther1 2" rowHeight="234950"/>
  <slicer name="Collection_Status" xr10:uid="{E795634D-03E9-47FA-AFDF-B7C3E82D2837}" cache="Slicer_Collection_Status" caption="Collection_Status" style="SlicerStyleOther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28B90C-3CC8-4D19-8A28-CF4B6F0EF3FC}" name="Table1" displayName="Table1" ref="A1:J201" totalsRowShown="0" headerRowDxfId="13" dataDxfId="11" headerRowBorderDxfId="12" tableBorderDxfId="10">
  <autoFilter ref="A1:J201" xr:uid="{7828B90C-3CC8-4D19-8A28-CF4B6F0EF3FC}"/>
  <tableColumns count="10">
    <tableColumn id="1" xr3:uid="{3A5A17A1-5F00-4A8B-B90D-E9CC83FD6F68}" name="Timestamp" dataDxfId="9"/>
    <tableColumn id="2" xr3:uid="{73FD057A-6A09-44E4-8818-D54360CCF633}" name="Location" dataDxfId="8"/>
    <tableColumn id="3" xr3:uid="{BA1268F6-8E25-4C32-A639-2A7E22C9AC22}" name="Route_ID" dataDxfId="7"/>
    <tableColumn id="4" xr3:uid="{6A701D4F-F4DF-4555-AE26-E010A4E5878B}" name="Driver_Name" dataDxfId="6"/>
    <tableColumn id="5" xr3:uid="{07431411-5633-4CFD-BFFA-006FCE477F90}" name="Truck_ID" dataDxfId="5"/>
    <tableColumn id="6" xr3:uid="{D75C7AE2-0D57-4ACA-ACC1-06AC34E48AA6}" name="Waste_Type" dataDxfId="4"/>
    <tableColumn id="7" xr3:uid="{D1B32F03-F7E3-414D-9B62-7FDB51D583F1}" name="Waste_Amount_kg" dataDxfId="3"/>
    <tableColumn id="8" xr3:uid="{FEFA3E6A-D695-49DD-AA70-02E877283A8B}" name="Bin_Level_percent" dataDxfId="2"/>
    <tableColumn id="9" xr3:uid="{0DBE1001-6A1B-4FBC-94A8-E80A4D49B25B}" name="Collection_Duration_mins" dataDxfId="1"/>
    <tableColumn id="10" xr3:uid="{2C2D84DC-85E8-4BDD-924B-15890D8915B6}" name="Collection_Statu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4"/>
  <sheetViews>
    <sheetView topLeftCell="A186" workbookViewId="0">
      <selection activeCell="F203" sqref="F203"/>
    </sheetView>
  </sheetViews>
  <sheetFormatPr defaultRowHeight="14.4" x14ac:dyDescent="0.3"/>
  <cols>
    <col min="1" max="1" width="18.21875" customWidth="1"/>
    <col min="2" max="2" width="26" customWidth="1"/>
    <col min="3" max="3" width="15.77734375" customWidth="1"/>
    <col min="4" max="4" width="18.44140625" customWidth="1"/>
    <col min="5" max="5" width="16.5546875" customWidth="1"/>
    <col min="6" max="6" width="21.21875" customWidth="1"/>
    <col min="7" max="7" width="27.5546875" customWidth="1"/>
    <col min="8" max="8" width="26.21875" customWidth="1"/>
    <col min="9" max="9" width="30.44140625" customWidth="1"/>
    <col min="10" max="10" width="27.2187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v>46266</v>
      </c>
      <c r="B2" s="3" t="s">
        <v>10</v>
      </c>
      <c r="C2" s="3" t="s">
        <v>11</v>
      </c>
      <c r="D2" s="3" t="s">
        <v>12</v>
      </c>
      <c r="E2" s="3" t="s">
        <v>13</v>
      </c>
      <c r="F2" s="3" t="s">
        <v>14</v>
      </c>
      <c r="G2" s="3">
        <v>61</v>
      </c>
      <c r="H2" s="3">
        <v>99</v>
      </c>
      <c r="I2" s="3">
        <v>6</v>
      </c>
      <c r="J2" s="3" t="s">
        <v>15</v>
      </c>
    </row>
    <row r="3" spans="1:10" x14ac:dyDescent="0.3">
      <c r="A3" s="2">
        <v>46266.145729166667</v>
      </c>
      <c r="B3" s="3" t="s">
        <v>16</v>
      </c>
      <c r="C3" s="3" t="s">
        <v>17</v>
      </c>
      <c r="D3" s="3" t="s">
        <v>18</v>
      </c>
      <c r="E3" s="3" t="s">
        <v>19</v>
      </c>
      <c r="F3" s="3" t="s">
        <v>20</v>
      </c>
      <c r="G3" s="3">
        <v>220</v>
      </c>
      <c r="H3" s="3">
        <v>100</v>
      </c>
      <c r="I3" s="3">
        <v>13</v>
      </c>
      <c r="J3" s="3" t="s">
        <v>21</v>
      </c>
    </row>
    <row r="4" spans="1:10" x14ac:dyDescent="0.3">
      <c r="A4" s="2">
        <v>46266.291458333333</v>
      </c>
      <c r="B4" s="3" t="s">
        <v>22</v>
      </c>
      <c r="C4" s="3" t="s">
        <v>23</v>
      </c>
      <c r="D4" s="3" t="s">
        <v>24</v>
      </c>
      <c r="E4" s="3" t="s">
        <v>25</v>
      </c>
      <c r="F4" s="3" t="s">
        <v>26</v>
      </c>
      <c r="G4" s="3">
        <v>496</v>
      </c>
      <c r="H4" s="3">
        <v>54</v>
      </c>
      <c r="I4" s="3">
        <v>11</v>
      </c>
      <c r="J4" s="3" t="s">
        <v>21</v>
      </c>
    </row>
    <row r="5" spans="1:10" x14ac:dyDescent="0.3">
      <c r="A5" s="2">
        <v>46266.4371875</v>
      </c>
      <c r="B5" s="3" t="s">
        <v>27</v>
      </c>
      <c r="C5" s="3" t="s">
        <v>17</v>
      </c>
      <c r="D5" s="3" t="s">
        <v>28</v>
      </c>
      <c r="E5" s="3" t="s">
        <v>25</v>
      </c>
      <c r="F5" s="3" t="s">
        <v>20</v>
      </c>
      <c r="G5" s="3">
        <v>496</v>
      </c>
      <c r="H5" s="3">
        <v>95</v>
      </c>
      <c r="I5" s="3">
        <v>12</v>
      </c>
      <c r="J5" s="3" t="s">
        <v>29</v>
      </c>
    </row>
    <row r="6" spans="1:10" x14ac:dyDescent="0.3">
      <c r="A6" s="2">
        <v>46266.582916666674</v>
      </c>
      <c r="B6" s="3" t="s">
        <v>10</v>
      </c>
      <c r="C6" s="3" t="s">
        <v>30</v>
      </c>
      <c r="D6" s="3" t="s">
        <v>31</v>
      </c>
      <c r="E6" s="3" t="s">
        <v>32</v>
      </c>
      <c r="F6" s="3" t="s">
        <v>14</v>
      </c>
      <c r="G6" s="3">
        <v>471</v>
      </c>
      <c r="H6" s="3">
        <v>87</v>
      </c>
      <c r="I6" s="3">
        <v>15</v>
      </c>
      <c r="J6" s="3" t="s">
        <v>15</v>
      </c>
    </row>
    <row r="7" spans="1:10" x14ac:dyDescent="0.3">
      <c r="A7" s="2">
        <v>46266.728645833333</v>
      </c>
      <c r="B7" s="3" t="s">
        <v>10</v>
      </c>
      <c r="C7" s="3" t="s">
        <v>17</v>
      </c>
      <c r="D7" s="3" t="s">
        <v>31</v>
      </c>
      <c r="E7" s="3" t="s">
        <v>32</v>
      </c>
      <c r="F7" s="3" t="s">
        <v>33</v>
      </c>
      <c r="G7" s="3">
        <v>303</v>
      </c>
      <c r="H7" s="3">
        <v>88</v>
      </c>
      <c r="I7" s="3">
        <v>17</v>
      </c>
      <c r="J7" s="3" t="s">
        <v>21</v>
      </c>
    </row>
    <row r="8" spans="1:10" x14ac:dyDescent="0.3">
      <c r="A8" s="2">
        <v>46266.874374999999</v>
      </c>
      <c r="B8" s="3" t="s">
        <v>34</v>
      </c>
      <c r="C8" s="3" t="s">
        <v>23</v>
      </c>
      <c r="D8" s="3" t="s">
        <v>24</v>
      </c>
      <c r="E8" s="3" t="s">
        <v>35</v>
      </c>
      <c r="F8" s="3" t="s">
        <v>14</v>
      </c>
      <c r="G8" s="3">
        <v>266</v>
      </c>
      <c r="H8" s="3">
        <v>100</v>
      </c>
      <c r="I8" s="3">
        <v>19</v>
      </c>
      <c r="J8" s="3" t="s">
        <v>21</v>
      </c>
    </row>
    <row r="9" spans="1:10" x14ac:dyDescent="0.3">
      <c r="A9" s="2">
        <v>46267.020104166673</v>
      </c>
      <c r="B9" s="3" t="s">
        <v>16</v>
      </c>
      <c r="C9" s="3" t="s">
        <v>17</v>
      </c>
      <c r="D9" s="3" t="s">
        <v>24</v>
      </c>
      <c r="E9" s="3" t="s">
        <v>36</v>
      </c>
      <c r="F9" s="3" t="s">
        <v>14</v>
      </c>
      <c r="G9" s="3">
        <v>238</v>
      </c>
      <c r="H9" s="3">
        <v>74</v>
      </c>
      <c r="I9" s="3">
        <v>18</v>
      </c>
      <c r="J9" s="3" t="s">
        <v>21</v>
      </c>
    </row>
    <row r="10" spans="1:10" x14ac:dyDescent="0.3">
      <c r="A10" s="2">
        <v>46267.165833333333</v>
      </c>
      <c r="B10" s="3" t="s">
        <v>16</v>
      </c>
      <c r="C10" s="3" t="s">
        <v>23</v>
      </c>
      <c r="D10" s="3" t="s">
        <v>28</v>
      </c>
      <c r="E10" s="3" t="s">
        <v>37</v>
      </c>
      <c r="F10" s="3" t="s">
        <v>14</v>
      </c>
      <c r="G10" s="3">
        <v>91</v>
      </c>
      <c r="H10" s="3">
        <v>74</v>
      </c>
      <c r="I10" s="3">
        <v>19</v>
      </c>
      <c r="J10" s="3" t="s">
        <v>15</v>
      </c>
    </row>
    <row r="11" spans="1:10" x14ac:dyDescent="0.3">
      <c r="A11" s="2">
        <v>46267.311562499999</v>
      </c>
      <c r="B11" s="3" t="s">
        <v>16</v>
      </c>
      <c r="C11" s="3" t="s">
        <v>30</v>
      </c>
      <c r="D11" s="3" t="s">
        <v>12</v>
      </c>
      <c r="E11" s="3" t="s">
        <v>38</v>
      </c>
      <c r="F11" s="3" t="s">
        <v>33</v>
      </c>
      <c r="G11" s="3">
        <v>69</v>
      </c>
      <c r="H11" s="3">
        <v>78</v>
      </c>
      <c r="I11" s="3">
        <v>7</v>
      </c>
      <c r="J11" s="3" t="s">
        <v>21</v>
      </c>
    </row>
    <row r="12" spans="1:10" x14ac:dyDescent="0.3">
      <c r="A12" s="2">
        <v>46267.457291666673</v>
      </c>
      <c r="B12" s="3" t="s">
        <v>10</v>
      </c>
      <c r="C12" s="3" t="s">
        <v>39</v>
      </c>
      <c r="D12" s="3" t="s">
        <v>28</v>
      </c>
      <c r="E12" s="3" t="s">
        <v>40</v>
      </c>
      <c r="F12" s="3" t="s">
        <v>33</v>
      </c>
      <c r="G12" s="3">
        <v>115</v>
      </c>
      <c r="H12" s="3">
        <v>81</v>
      </c>
      <c r="I12" s="3">
        <v>17</v>
      </c>
      <c r="J12" s="3" t="s">
        <v>15</v>
      </c>
    </row>
    <row r="13" spans="1:10" x14ac:dyDescent="0.3">
      <c r="A13" s="2">
        <v>46267.603020833332</v>
      </c>
      <c r="B13" s="3" t="s">
        <v>41</v>
      </c>
      <c r="C13" s="3" t="s">
        <v>11</v>
      </c>
      <c r="D13" s="3" t="s">
        <v>31</v>
      </c>
      <c r="E13" s="3" t="s">
        <v>42</v>
      </c>
      <c r="F13" s="3" t="s">
        <v>33</v>
      </c>
      <c r="G13" s="3">
        <v>319</v>
      </c>
      <c r="H13" s="3">
        <v>80</v>
      </c>
      <c r="I13" s="3">
        <v>11</v>
      </c>
      <c r="J13" s="3" t="s">
        <v>15</v>
      </c>
    </row>
    <row r="14" spans="1:10" x14ac:dyDescent="0.3">
      <c r="A14" s="2">
        <v>46267.748738425929</v>
      </c>
      <c r="B14" s="3" t="s">
        <v>10</v>
      </c>
      <c r="C14" s="3" t="s">
        <v>30</v>
      </c>
      <c r="D14" s="3" t="s">
        <v>24</v>
      </c>
      <c r="E14" s="3" t="s">
        <v>43</v>
      </c>
      <c r="F14" s="3" t="s">
        <v>33</v>
      </c>
      <c r="G14" s="3">
        <v>463</v>
      </c>
      <c r="H14" s="3">
        <v>80</v>
      </c>
      <c r="I14" s="3">
        <v>11</v>
      </c>
      <c r="J14" s="3" t="s">
        <v>21</v>
      </c>
    </row>
    <row r="15" spans="1:10" x14ac:dyDescent="0.3">
      <c r="A15" s="2">
        <v>46267.894467592603</v>
      </c>
      <c r="B15" s="3" t="s">
        <v>34</v>
      </c>
      <c r="C15" s="3" t="s">
        <v>39</v>
      </c>
      <c r="D15" s="3" t="s">
        <v>28</v>
      </c>
      <c r="E15" s="3" t="s">
        <v>19</v>
      </c>
      <c r="F15" s="3" t="s">
        <v>14</v>
      </c>
      <c r="G15" s="3">
        <v>372</v>
      </c>
      <c r="H15" s="3">
        <v>92</v>
      </c>
      <c r="I15" s="3">
        <v>8</v>
      </c>
      <c r="J15" s="3" t="s">
        <v>15</v>
      </c>
    </row>
    <row r="16" spans="1:10" x14ac:dyDescent="0.3">
      <c r="A16" s="2">
        <v>46268.040196759262</v>
      </c>
      <c r="B16" s="3" t="s">
        <v>22</v>
      </c>
      <c r="C16" s="3" t="s">
        <v>39</v>
      </c>
      <c r="D16" s="3" t="s">
        <v>28</v>
      </c>
      <c r="E16" s="3" t="s">
        <v>25</v>
      </c>
      <c r="F16" s="3" t="s">
        <v>33</v>
      </c>
      <c r="G16" s="3">
        <v>494</v>
      </c>
      <c r="H16" s="3">
        <v>93</v>
      </c>
      <c r="I16" s="3">
        <v>10</v>
      </c>
      <c r="J16" s="3" t="s">
        <v>21</v>
      </c>
    </row>
    <row r="17" spans="1:10" x14ac:dyDescent="0.3">
      <c r="A17" s="2">
        <v>46268.185925925929</v>
      </c>
      <c r="B17" s="3" t="s">
        <v>44</v>
      </c>
      <c r="C17" s="3" t="s">
        <v>17</v>
      </c>
      <c r="D17" s="3" t="s">
        <v>12</v>
      </c>
      <c r="E17" s="3" t="s">
        <v>45</v>
      </c>
      <c r="F17" s="3" t="s">
        <v>14</v>
      </c>
      <c r="G17" s="3">
        <v>274</v>
      </c>
      <c r="H17" s="3">
        <v>58</v>
      </c>
      <c r="I17" s="3">
        <v>16</v>
      </c>
      <c r="J17" s="3" t="s">
        <v>15</v>
      </c>
    </row>
    <row r="18" spans="1:10" x14ac:dyDescent="0.3">
      <c r="A18" s="2">
        <v>46268.331655092603</v>
      </c>
      <c r="B18" s="3" t="s">
        <v>22</v>
      </c>
      <c r="C18" s="3" t="s">
        <v>11</v>
      </c>
      <c r="D18" s="3" t="s">
        <v>31</v>
      </c>
      <c r="E18" s="3" t="s">
        <v>46</v>
      </c>
      <c r="F18" s="3" t="s">
        <v>26</v>
      </c>
      <c r="G18" s="3">
        <v>488</v>
      </c>
      <c r="H18" s="3">
        <v>80</v>
      </c>
      <c r="I18" s="3">
        <v>8</v>
      </c>
      <c r="J18" s="3" t="s">
        <v>29</v>
      </c>
    </row>
    <row r="19" spans="1:10" x14ac:dyDescent="0.3">
      <c r="A19" s="2">
        <v>46268.477384259262</v>
      </c>
      <c r="B19" s="3" t="s">
        <v>10</v>
      </c>
      <c r="C19" s="3" t="s">
        <v>17</v>
      </c>
      <c r="D19" s="3" t="s">
        <v>12</v>
      </c>
      <c r="E19" s="3" t="s">
        <v>37</v>
      </c>
      <c r="F19" s="3" t="s">
        <v>33</v>
      </c>
      <c r="G19" s="3">
        <v>484</v>
      </c>
      <c r="H19" s="3">
        <v>88</v>
      </c>
      <c r="I19" s="3">
        <v>19</v>
      </c>
      <c r="J19" s="3" t="s">
        <v>29</v>
      </c>
    </row>
    <row r="20" spans="1:10" x14ac:dyDescent="0.3">
      <c r="A20" s="2">
        <v>46268.623113425929</v>
      </c>
      <c r="B20" s="3" t="s">
        <v>34</v>
      </c>
      <c r="C20" s="3" t="s">
        <v>17</v>
      </c>
      <c r="D20" s="3" t="s">
        <v>12</v>
      </c>
      <c r="E20" s="3" t="s">
        <v>47</v>
      </c>
      <c r="F20" s="3" t="s">
        <v>26</v>
      </c>
      <c r="G20" s="3">
        <v>488</v>
      </c>
      <c r="H20" s="3">
        <v>51</v>
      </c>
      <c r="I20" s="3">
        <v>7</v>
      </c>
      <c r="J20" s="3" t="s">
        <v>21</v>
      </c>
    </row>
    <row r="21" spans="1:10" x14ac:dyDescent="0.3">
      <c r="A21" s="2">
        <v>46268.768842592603</v>
      </c>
      <c r="B21" s="3" t="s">
        <v>16</v>
      </c>
      <c r="C21" s="3" t="s">
        <v>23</v>
      </c>
      <c r="D21" s="3" t="s">
        <v>18</v>
      </c>
      <c r="E21" s="3" t="s">
        <v>19</v>
      </c>
      <c r="F21" s="3" t="s">
        <v>33</v>
      </c>
      <c r="G21" s="3">
        <v>87</v>
      </c>
      <c r="H21" s="3">
        <v>65</v>
      </c>
      <c r="I21" s="3">
        <v>11</v>
      </c>
      <c r="J21" s="3" t="s">
        <v>15</v>
      </c>
    </row>
    <row r="22" spans="1:10" x14ac:dyDescent="0.3">
      <c r="A22" s="2">
        <v>46268.914571759262</v>
      </c>
      <c r="B22" s="3" t="s">
        <v>41</v>
      </c>
      <c r="C22" s="3" t="s">
        <v>39</v>
      </c>
      <c r="D22" s="3" t="s">
        <v>18</v>
      </c>
      <c r="E22" s="3" t="s">
        <v>35</v>
      </c>
      <c r="F22" s="3" t="s">
        <v>20</v>
      </c>
      <c r="G22" s="3">
        <v>145</v>
      </c>
      <c r="H22" s="3">
        <v>95</v>
      </c>
      <c r="I22" s="3">
        <v>18</v>
      </c>
      <c r="J22" s="3" t="s">
        <v>15</v>
      </c>
    </row>
    <row r="23" spans="1:10" x14ac:dyDescent="0.3">
      <c r="A23" s="2">
        <v>46269.060300925928</v>
      </c>
      <c r="B23" s="3" t="s">
        <v>34</v>
      </c>
      <c r="C23" s="3" t="s">
        <v>39</v>
      </c>
      <c r="D23" s="3" t="s">
        <v>31</v>
      </c>
      <c r="E23" s="3" t="s">
        <v>42</v>
      </c>
      <c r="F23" s="3" t="s">
        <v>20</v>
      </c>
      <c r="G23" s="3">
        <v>180</v>
      </c>
      <c r="H23" s="3">
        <v>64</v>
      </c>
      <c r="I23" s="3">
        <v>8</v>
      </c>
      <c r="J23" s="3" t="s">
        <v>21</v>
      </c>
    </row>
    <row r="24" spans="1:10" x14ac:dyDescent="0.3">
      <c r="A24" s="2">
        <v>46269.206030092602</v>
      </c>
      <c r="B24" s="3" t="s">
        <v>16</v>
      </c>
      <c r="C24" s="3" t="s">
        <v>30</v>
      </c>
      <c r="D24" s="3" t="s">
        <v>28</v>
      </c>
      <c r="E24" s="3" t="s">
        <v>48</v>
      </c>
      <c r="F24" s="3" t="s">
        <v>26</v>
      </c>
      <c r="G24" s="3">
        <v>212</v>
      </c>
      <c r="H24" s="3">
        <v>55</v>
      </c>
      <c r="I24" s="3">
        <v>8</v>
      </c>
      <c r="J24" s="3" t="s">
        <v>15</v>
      </c>
    </row>
    <row r="25" spans="1:10" x14ac:dyDescent="0.3">
      <c r="A25" s="2">
        <v>46269.351759259262</v>
      </c>
      <c r="B25" s="3" t="s">
        <v>34</v>
      </c>
      <c r="C25" s="3" t="s">
        <v>11</v>
      </c>
      <c r="D25" s="3" t="s">
        <v>24</v>
      </c>
      <c r="E25" s="3" t="s">
        <v>40</v>
      </c>
      <c r="F25" s="3" t="s">
        <v>20</v>
      </c>
      <c r="G25" s="3">
        <v>436</v>
      </c>
      <c r="H25" s="3">
        <v>50</v>
      </c>
      <c r="I25" s="3">
        <v>12</v>
      </c>
      <c r="J25" s="3" t="s">
        <v>29</v>
      </c>
    </row>
    <row r="26" spans="1:10" x14ac:dyDescent="0.3">
      <c r="A26" s="2">
        <v>46269.497488425928</v>
      </c>
      <c r="B26" s="3" t="s">
        <v>41</v>
      </c>
      <c r="C26" s="3" t="s">
        <v>23</v>
      </c>
      <c r="D26" s="3" t="s">
        <v>28</v>
      </c>
      <c r="E26" s="3" t="s">
        <v>35</v>
      </c>
      <c r="F26" s="3" t="s">
        <v>20</v>
      </c>
      <c r="G26" s="3">
        <v>447</v>
      </c>
      <c r="H26" s="3">
        <v>92</v>
      </c>
      <c r="I26" s="3">
        <v>8</v>
      </c>
      <c r="J26" s="3" t="s">
        <v>21</v>
      </c>
    </row>
    <row r="27" spans="1:10" x14ac:dyDescent="0.3">
      <c r="A27" s="2">
        <v>46269.643217592587</v>
      </c>
      <c r="B27" s="3" t="s">
        <v>27</v>
      </c>
      <c r="C27" s="3" t="s">
        <v>17</v>
      </c>
      <c r="D27" s="3" t="s">
        <v>12</v>
      </c>
      <c r="E27" s="3" t="s">
        <v>49</v>
      </c>
      <c r="F27" s="3" t="s">
        <v>14</v>
      </c>
      <c r="G27" s="3">
        <v>50</v>
      </c>
      <c r="H27" s="3">
        <v>57</v>
      </c>
      <c r="I27" s="3">
        <v>15</v>
      </c>
      <c r="J27" s="3" t="s">
        <v>29</v>
      </c>
    </row>
    <row r="28" spans="1:10" x14ac:dyDescent="0.3">
      <c r="A28" s="2">
        <v>46269.788946759261</v>
      </c>
      <c r="B28" s="3" t="s">
        <v>41</v>
      </c>
      <c r="C28" s="3" t="s">
        <v>39</v>
      </c>
      <c r="D28" s="3" t="s">
        <v>24</v>
      </c>
      <c r="E28" s="3" t="s">
        <v>25</v>
      </c>
      <c r="F28" s="3" t="s">
        <v>20</v>
      </c>
      <c r="G28" s="3">
        <v>183</v>
      </c>
      <c r="H28" s="3">
        <v>75</v>
      </c>
      <c r="I28" s="3">
        <v>13</v>
      </c>
      <c r="J28" s="3" t="s">
        <v>15</v>
      </c>
    </row>
    <row r="29" spans="1:10" x14ac:dyDescent="0.3">
      <c r="A29" s="2">
        <v>46269.934675925928</v>
      </c>
      <c r="B29" s="3" t="s">
        <v>10</v>
      </c>
      <c r="C29" s="3" t="s">
        <v>39</v>
      </c>
      <c r="D29" s="3" t="s">
        <v>24</v>
      </c>
      <c r="E29" s="3" t="s">
        <v>25</v>
      </c>
      <c r="F29" s="3" t="s">
        <v>14</v>
      </c>
      <c r="G29" s="3">
        <v>331</v>
      </c>
      <c r="H29" s="3">
        <v>55</v>
      </c>
      <c r="I29" s="3">
        <v>6</v>
      </c>
      <c r="J29" s="3" t="s">
        <v>15</v>
      </c>
    </row>
    <row r="30" spans="1:10" x14ac:dyDescent="0.3">
      <c r="A30" s="2">
        <v>46270.080405092587</v>
      </c>
      <c r="B30" s="3" t="s">
        <v>44</v>
      </c>
      <c r="C30" s="3" t="s">
        <v>17</v>
      </c>
      <c r="D30" s="3" t="s">
        <v>31</v>
      </c>
      <c r="E30" s="3" t="s">
        <v>50</v>
      </c>
      <c r="F30" s="3" t="s">
        <v>14</v>
      </c>
      <c r="G30" s="3">
        <v>173</v>
      </c>
      <c r="H30" s="3">
        <v>99</v>
      </c>
      <c r="I30" s="3">
        <v>10</v>
      </c>
      <c r="J30" s="3" t="s">
        <v>29</v>
      </c>
    </row>
    <row r="31" spans="1:10" x14ac:dyDescent="0.3">
      <c r="A31" s="2">
        <v>46270.226134259261</v>
      </c>
      <c r="B31" s="3" t="s">
        <v>10</v>
      </c>
      <c r="C31" s="3" t="s">
        <v>17</v>
      </c>
      <c r="D31" s="3" t="s">
        <v>28</v>
      </c>
      <c r="E31" s="3" t="s">
        <v>50</v>
      </c>
      <c r="F31" s="3" t="s">
        <v>33</v>
      </c>
      <c r="G31" s="3">
        <v>171</v>
      </c>
      <c r="H31" s="3">
        <v>80</v>
      </c>
      <c r="I31" s="3">
        <v>16</v>
      </c>
      <c r="J31" s="3" t="s">
        <v>29</v>
      </c>
    </row>
    <row r="32" spans="1:10" x14ac:dyDescent="0.3">
      <c r="A32" s="2">
        <v>46270.371863425928</v>
      </c>
      <c r="B32" s="3" t="s">
        <v>34</v>
      </c>
      <c r="C32" s="3" t="s">
        <v>11</v>
      </c>
      <c r="D32" s="3" t="s">
        <v>12</v>
      </c>
      <c r="E32" s="3" t="s">
        <v>37</v>
      </c>
      <c r="F32" s="3" t="s">
        <v>20</v>
      </c>
      <c r="G32" s="3">
        <v>422</v>
      </c>
      <c r="H32" s="3">
        <v>91</v>
      </c>
      <c r="I32" s="3">
        <v>16</v>
      </c>
      <c r="J32" s="3" t="s">
        <v>21</v>
      </c>
    </row>
    <row r="33" spans="1:10" x14ac:dyDescent="0.3">
      <c r="A33" s="2">
        <v>46270.517592592587</v>
      </c>
      <c r="B33" s="3" t="s">
        <v>51</v>
      </c>
      <c r="C33" s="3" t="s">
        <v>39</v>
      </c>
      <c r="D33" s="3" t="s">
        <v>18</v>
      </c>
      <c r="E33" s="3" t="s">
        <v>46</v>
      </c>
      <c r="F33" s="3" t="s">
        <v>33</v>
      </c>
      <c r="G33" s="3">
        <v>449</v>
      </c>
      <c r="H33" s="3">
        <v>99</v>
      </c>
      <c r="I33" s="3">
        <v>8</v>
      </c>
      <c r="J33" s="3" t="s">
        <v>21</v>
      </c>
    </row>
    <row r="34" spans="1:10" x14ac:dyDescent="0.3">
      <c r="A34" s="2">
        <v>46270.663321759261</v>
      </c>
      <c r="B34" s="3" t="s">
        <v>27</v>
      </c>
      <c r="C34" s="3" t="s">
        <v>17</v>
      </c>
      <c r="D34" s="3" t="s">
        <v>18</v>
      </c>
      <c r="E34" s="3" t="s">
        <v>49</v>
      </c>
      <c r="F34" s="3" t="s">
        <v>26</v>
      </c>
      <c r="G34" s="3">
        <v>236</v>
      </c>
      <c r="H34" s="3">
        <v>55</v>
      </c>
      <c r="I34" s="3">
        <v>13</v>
      </c>
      <c r="J34" s="3" t="s">
        <v>21</v>
      </c>
    </row>
    <row r="35" spans="1:10" x14ac:dyDescent="0.3">
      <c r="A35" s="2">
        <v>46270.809050925927</v>
      </c>
      <c r="B35" s="3" t="s">
        <v>34</v>
      </c>
      <c r="C35" s="3" t="s">
        <v>11</v>
      </c>
      <c r="D35" s="3" t="s">
        <v>28</v>
      </c>
      <c r="E35" s="3" t="s">
        <v>47</v>
      </c>
      <c r="F35" s="3" t="s">
        <v>33</v>
      </c>
      <c r="G35" s="3">
        <v>481</v>
      </c>
      <c r="H35" s="3">
        <v>84</v>
      </c>
      <c r="I35" s="3">
        <v>6</v>
      </c>
      <c r="J35" s="3" t="s">
        <v>15</v>
      </c>
    </row>
    <row r="36" spans="1:10" x14ac:dyDescent="0.3">
      <c r="A36" s="2">
        <v>46270.954768518517</v>
      </c>
      <c r="B36" s="3" t="s">
        <v>41</v>
      </c>
      <c r="C36" s="3" t="s">
        <v>11</v>
      </c>
      <c r="D36" s="3" t="s">
        <v>24</v>
      </c>
      <c r="E36" s="3" t="s">
        <v>38</v>
      </c>
      <c r="F36" s="3" t="s">
        <v>14</v>
      </c>
      <c r="G36" s="3">
        <v>400</v>
      </c>
      <c r="H36" s="3">
        <v>99</v>
      </c>
      <c r="I36" s="3">
        <v>6</v>
      </c>
      <c r="J36" s="3" t="s">
        <v>15</v>
      </c>
    </row>
    <row r="37" spans="1:10" x14ac:dyDescent="0.3">
      <c r="A37" s="2">
        <v>46271.100497685176</v>
      </c>
      <c r="B37" s="3" t="s">
        <v>10</v>
      </c>
      <c r="C37" s="3" t="s">
        <v>11</v>
      </c>
      <c r="D37" s="3" t="s">
        <v>24</v>
      </c>
      <c r="E37" s="3" t="s">
        <v>50</v>
      </c>
      <c r="F37" s="3" t="s">
        <v>20</v>
      </c>
      <c r="G37" s="3">
        <v>269</v>
      </c>
      <c r="H37" s="3">
        <v>73</v>
      </c>
      <c r="I37" s="3">
        <v>15</v>
      </c>
      <c r="J37" s="3" t="s">
        <v>29</v>
      </c>
    </row>
    <row r="38" spans="1:10" x14ac:dyDescent="0.3">
      <c r="A38" s="2">
        <v>46271.24622685185</v>
      </c>
      <c r="B38" s="3" t="s">
        <v>51</v>
      </c>
      <c r="C38" s="3" t="s">
        <v>30</v>
      </c>
      <c r="D38" s="3" t="s">
        <v>12</v>
      </c>
      <c r="E38" s="3" t="s">
        <v>36</v>
      </c>
      <c r="F38" s="3" t="s">
        <v>33</v>
      </c>
      <c r="G38" s="3">
        <v>309</v>
      </c>
      <c r="H38" s="3">
        <v>75</v>
      </c>
      <c r="I38" s="3">
        <v>12</v>
      </c>
      <c r="J38" s="3" t="s">
        <v>15</v>
      </c>
    </row>
    <row r="39" spans="1:10" x14ac:dyDescent="0.3">
      <c r="A39" s="2">
        <v>46271.391956018517</v>
      </c>
      <c r="B39" s="3" t="s">
        <v>51</v>
      </c>
      <c r="C39" s="3" t="s">
        <v>39</v>
      </c>
      <c r="D39" s="3" t="s">
        <v>18</v>
      </c>
      <c r="E39" s="3" t="s">
        <v>48</v>
      </c>
      <c r="F39" s="3" t="s">
        <v>26</v>
      </c>
      <c r="G39" s="3">
        <v>58</v>
      </c>
      <c r="H39" s="3">
        <v>91</v>
      </c>
      <c r="I39" s="3">
        <v>14</v>
      </c>
      <c r="J39" s="3" t="s">
        <v>21</v>
      </c>
    </row>
    <row r="40" spans="1:10" x14ac:dyDescent="0.3">
      <c r="A40" s="2">
        <v>46271.537685185183</v>
      </c>
      <c r="B40" s="3" t="s">
        <v>51</v>
      </c>
      <c r="C40" s="3" t="s">
        <v>11</v>
      </c>
      <c r="D40" s="3" t="s">
        <v>18</v>
      </c>
      <c r="E40" s="3" t="s">
        <v>19</v>
      </c>
      <c r="F40" s="3" t="s">
        <v>14</v>
      </c>
      <c r="G40" s="3">
        <v>335</v>
      </c>
      <c r="H40" s="3">
        <v>71</v>
      </c>
      <c r="I40" s="3">
        <v>20</v>
      </c>
      <c r="J40" s="3" t="s">
        <v>21</v>
      </c>
    </row>
    <row r="41" spans="1:10" x14ac:dyDescent="0.3">
      <c r="A41" s="2">
        <v>46271.68341435185</v>
      </c>
      <c r="B41" s="3" t="s">
        <v>10</v>
      </c>
      <c r="C41" s="3" t="s">
        <v>11</v>
      </c>
      <c r="D41" s="3" t="s">
        <v>18</v>
      </c>
      <c r="E41" s="3" t="s">
        <v>52</v>
      </c>
      <c r="F41" s="3" t="s">
        <v>26</v>
      </c>
      <c r="G41" s="3">
        <v>59</v>
      </c>
      <c r="H41" s="3">
        <v>62</v>
      </c>
      <c r="I41" s="3">
        <v>13</v>
      </c>
      <c r="J41" s="3" t="s">
        <v>21</v>
      </c>
    </row>
    <row r="42" spans="1:10" x14ac:dyDescent="0.3">
      <c r="A42" s="2">
        <v>46271.829143518517</v>
      </c>
      <c r="B42" s="3" t="s">
        <v>27</v>
      </c>
      <c r="C42" s="3" t="s">
        <v>11</v>
      </c>
      <c r="D42" s="3" t="s">
        <v>28</v>
      </c>
      <c r="E42" s="3" t="s">
        <v>46</v>
      </c>
      <c r="F42" s="3" t="s">
        <v>33</v>
      </c>
      <c r="G42" s="3">
        <v>308</v>
      </c>
      <c r="H42" s="3">
        <v>65</v>
      </c>
      <c r="I42" s="3">
        <v>20</v>
      </c>
      <c r="J42" s="3" t="s">
        <v>21</v>
      </c>
    </row>
    <row r="43" spans="1:10" x14ac:dyDescent="0.3">
      <c r="A43" s="2">
        <v>46271.974872685183</v>
      </c>
      <c r="B43" s="3" t="s">
        <v>27</v>
      </c>
      <c r="C43" s="3" t="s">
        <v>23</v>
      </c>
      <c r="D43" s="3" t="s">
        <v>28</v>
      </c>
      <c r="E43" s="3" t="s">
        <v>48</v>
      </c>
      <c r="F43" s="3" t="s">
        <v>14</v>
      </c>
      <c r="G43" s="3">
        <v>412</v>
      </c>
      <c r="H43" s="3">
        <v>51</v>
      </c>
      <c r="I43" s="3">
        <v>15</v>
      </c>
      <c r="J43" s="3" t="s">
        <v>21</v>
      </c>
    </row>
    <row r="44" spans="1:10" x14ac:dyDescent="0.3">
      <c r="A44" s="2">
        <v>46272.12060185185</v>
      </c>
      <c r="B44" s="3" t="s">
        <v>44</v>
      </c>
      <c r="C44" s="3" t="s">
        <v>39</v>
      </c>
      <c r="D44" s="3" t="s">
        <v>12</v>
      </c>
      <c r="E44" s="3" t="s">
        <v>48</v>
      </c>
      <c r="F44" s="3" t="s">
        <v>26</v>
      </c>
      <c r="G44" s="3">
        <v>268</v>
      </c>
      <c r="H44" s="3">
        <v>75</v>
      </c>
      <c r="I44" s="3">
        <v>6</v>
      </c>
      <c r="J44" s="3" t="s">
        <v>29</v>
      </c>
    </row>
    <row r="45" spans="1:10" x14ac:dyDescent="0.3">
      <c r="A45" s="2">
        <v>46272.266331018523</v>
      </c>
      <c r="B45" s="3" t="s">
        <v>27</v>
      </c>
      <c r="C45" s="3" t="s">
        <v>30</v>
      </c>
      <c r="D45" s="3" t="s">
        <v>28</v>
      </c>
      <c r="E45" s="3" t="s">
        <v>13</v>
      </c>
      <c r="F45" s="3" t="s">
        <v>33</v>
      </c>
      <c r="G45" s="3">
        <v>249</v>
      </c>
      <c r="H45" s="3">
        <v>52</v>
      </c>
      <c r="I45" s="3">
        <v>20</v>
      </c>
      <c r="J45" s="3" t="s">
        <v>15</v>
      </c>
    </row>
    <row r="46" spans="1:10" x14ac:dyDescent="0.3">
      <c r="A46" s="2">
        <v>46272.412060185183</v>
      </c>
      <c r="B46" s="3" t="s">
        <v>44</v>
      </c>
      <c r="C46" s="3" t="s">
        <v>17</v>
      </c>
      <c r="D46" s="3" t="s">
        <v>28</v>
      </c>
      <c r="E46" s="3" t="s">
        <v>36</v>
      </c>
      <c r="F46" s="3" t="s">
        <v>14</v>
      </c>
      <c r="G46" s="3">
        <v>108</v>
      </c>
      <c r="H46" s="3">
        <v>99</v>
      </c>
      <c r="I46" s="3">
        <v>13</v>
      </c>
      <c r="J46" s="3" t="s">
        <v>15</v>
      </c>
    </row>
    <row r="47" spans="1:10" x14ac:dyDescent="0.3">
      <c r="A47" s="2">
        <v>46272.557789351849</v>
      </c>
      <c r="B47" s="3" t="s">
        <v>10</v>
      </c>
      <c r="C47" s="3" t="s">
        <v>30</v>
      </c>
      <c r="D47" s="3" t="s">
        <v>31</v>
      </c>
      <c r="E47" s="3" t="s">
        <v>42</v>
      </c>
      <c r="F47" s="3" t="s">
        <v>20</v>
      </c>
      <c r="G47" s="3">
        <v>71</v>
      </c>
      <c r="H47" s="3">
        <v>58</v>
      </c>
      <c r="I47" s="3">
        <v>16</v>
      </c>
      <c r="J47" s="3" t="s">
        <v>29</v>
      </c>
    </row>
    <row r="48" spans="1:10" x14ac:dyDescent="0.3">
      <c r="A48" s="2">
        <v>46272.703518518523</v>
      </c>
      <c r="B48" s="3" t="s">
        <v>41</v>
      </c>
      <c r="C48" s="3" t="s">
        <v>39</v>
      </c>
      <c r="D48" s="3" t="s">
        <v>12</v>
      </c>
      <c r="E48" s="3" t="s">
        <v>13</v>
      </c>
      <c r="F48" s="3" t="s">
        <v>14</v>
      </c>
      <c r="G48" s="3">
        <v>175</v>
      </c>
      <c r="H48" s="3">
        <v>69</v>
      </c>
      <c r="I48" s="3">
        <v>16</v>
      </c>
      <c r="J48" s="3" t="s">
        <v>29</v>
      </c>
    </row>
    <row r="49" spans="1:10" x14ac:dyDescent="0.3">
      <c r="A49" s="2">
        <v>46272.849247685182</v>
      </c>
      <c r="B49" s="3" t="s">
        <v>10</v>
      </c>
      <c r="C49" s="3" t="s">
        <v>17</v>
      </c>
      <c r="D49" s="3" t="s">
        <v>12</v>
      </c>
      <c r="E49" s="3" t="s">
        <v>35</v>
      </c>
      <c r="F49" s="3" t="s">
        <v>26</v>
      </c>
      <c r="G49" s="3">
        <v>362</v>
      </c>
      <c r="H49" s="3">
        <v>94</v>
      </c>
      <c r="I49" s="3">
        <v>6</v>
      </c>
      <c r="J49" s="3" t="s">
        <v>21</v>
      </c>
    </row>
    <row r="50" spans="1:10" x14ac:dyDescent="0.3">
      <c r="A50" s="2">
        <v>46272.994976851849</v>
      </c>
      <c r="B50" s="3" t="s">
        <v>44</v>
      </c>
      <c r="C50" s="3" t="s">
        <v>39</v>
      </c>
      <c r="D50" s="3" t="s">
        <v>31</v>
      </c>
      <c r="E50" s="3" t="s">
        <v>36</v>
      </c>
      <c r="F50" s="3" t="s">
        <v>33</v>
      </c>
      <c r="G50" s="3">
        <v>76</v>
      </c>
      <c r="H50" s="3">
        <v>54</v>
      </c>
      <c r="I50" s="3">
        <v>7</v>
      </c>
      <c r="J50" s="3" t="s">
        <v>15</v>
      </c>
    </row>
    <row r="51" spans="1:10" x14ac:dyDescent="0.3">
      <c r="A51" s="2">
        <v>46273.140706018523</v>
      </c>
      <c r="B51" s="3" t="s">
        <v>51</v>
      </c>
      <c r="C51" s="3" t="s">
        <v>17</v>
      </c>
      <c r="D51" s="3" t="s">
        <v>31</v>
      </c>
      <c r="E51" s="3" t="s">
        <v>36</v>
      </c>
      <c r="F51" s="3" t="s">
        <v>14</v>
      </c>
      <c r="G51" s="3">
        <v>341</v>
      </c>
      <c r="H51" s="3">
        <v>63</v>
      </c>
      <c r="I51" s="3">
        <v>18</v>
      </c>
      <c r="J51" s="3" t="s">
        <v>21</v>
      </c>
    </row>
    <row r="52" spans="1:10" x14ac:dyDescent="0.3">
      <c r="A52" s="2">
        <v>46273.286435185182</v>
      </c>
      <c r="B52" s="3" t="s">
        <v>44</v>
      </c>
      <c r="C52" s="3" t="s">
        <v>39</v>
      </c>
      <c r="D52" s="3" t="s">
        <v>31</v>
      </c>
      <c r="E52" s="3" t="s">
        <v>38</v>
      </c>
      <c r="F52" s="3" t="s">
        <v>20</v>
      </c>
      <c r="G52" s="3">
        <v>106</v>
      </c>
      <c r="H52" s="3">
        <v>77</v>
      </c>
      <c r="I52" s="3">
        <v>9</v>
      </c>
      <c r="J52" s="3" t="s">
        <v>15</v>
      </c>
    </row>
    <row r="53" spans="1:10" x14ac:dyDescent="0.3">
      <c r="A53" s="2">
        <v>46273.432164351849</v>
      </c>
      <c r="B53" s="3" t="s">
        <v>34</v>
      </c>
      <c r="C53" s="3" t="s">
        <v>39</v>
      </c>
      <c r="D53" s="3" t="s">
        <v>18</v>
      </c>
      <c r="E53" s="3" t="s">
        <v>48</v>
      </c>
      <c r="F53" s="3" t="s">
        <v>20</v>
      </c>
      <c r="G53" s="3">
        <v>124</v>
      </c>
      <c r="H53" s="3">
        <v>76</v>
      </c>
      <c r="I53" s="3">
        <v>14</v>
      </c>
      <c r="J53" s="3" t="s">
        <v>21</v>
      </c>
    </row>
    <row r="54" spans="1:10" x14ac:dyDescent="0.3">
      <c r="A54" s="2">
        <v>46273.577893518523</v>
      </c>
      <c r="B54" s="3" t="s">
        <v>44</v>
      </c>
      <c r="C54" s="3" t="s">
        <v>11</v>
      </c>
      <c r="D54" s="3" t="s">
        <v>24</v>
      </c>
      <c r="E54" s="3" t="s">
        <v>13</v>
      </c>
      <c r="F54" s="3" t="s">
        <v>20</v>
      </c>
      <c r="G54" s="3">
        <v>325</v>
      </c>
      <c r="H54" s="3">
        <v>50</v>
      </c>
      <c r="I54" s="3">
        <v>13</v>
      </c>
      <c r="J54" s="3" t="s">
        <v>15</v>
      </c>
    </row>
    <row r="55" spans="1:10" x14ac:dyDescent="0.3">
      <c r="A55" s="2">
        <v>46273.723622685182</v>
      </c>
      <c r="B55" s="3" t="s">
        <v>22</v>
      </c>
      <c r="C55" s="3" t="s">
        <v>23</v>
      </c>
      <c r="D55" s="3" t="s">
        <v>31</v>
      </c>
      <c r="E55" s="3" t="s">
        <v>36</v>
      </c>
      <c r="F55" s="3" t="s">
        <v>14</v>
      </c>
      <c r="G55" s="3">
        <v>181</v>
      </c>
      <c r="H55" s="3">
        <v>85</v>
      </c>
      <c r="I55" s="3">
        <v>19</v>
      </c>
      <c r="J55" s="3" t="s">
        <v>21</v>
      </c>
    </row>
    <row r="56" spans="1:10" x14ac:dyDescent="0.3">
      <c r="A56" s="2">
        <v>46273.869351851848</v>
      </c>
      <c r="B56" s="3" t="s">
        <v>10</v>
      </c>
      <c r="C56" s="3" t="s">
        <v>17</v>
      </c>
      <c r="D56" s="3" t="s">
        <v>18</v>
      </c>
      <c r="E56" s="3" t="s">
        <v>37</v>
      </c>
      <c r="F56" s="3" t="s">
        <v>20</v>
      </c>
      <c r="G56" s="3">
        <v>140</v>
      </c>
      <c r="H56" s="3">
        <v>64</v>
      </c>
      <c r="I56" s="3">
        <v>8</v>
      </c>
      <c r="J56" s="3" t="s">
        <v>15</v>
      </c>
    </row>
    <row r="57" spans="1:10" x14ac:dyDescent="0.3">
      <c r="A57" s="2">
        <v>46274.015081018522</v>
      </c>
      <c r="B57" s="3" t="s">
        <v>10</v>
      </c>
      <c r="C57" s="3" t="s">
        <v>17</v>
      </c>
      <c r="D57" s="3" t="s">
        <v>12</v>
      </c>
      <c r="E57" s="3" t="s">
        <v>53</v>
      </c>
      <c r="F57" s="3" t="s">
        <v>33</v>
      </c>
      <c r="G57" s="3">
        <v>472</v>
      </c>
      <c r="H57" s="3">
        <v>96</v>
      </c>
      <c r="I57" s="3">
        <v>13</v>
      </c>
      <c r="J57" s="3" t="s">
        <v>15</v>
      </c>
    </row>
    <row r="58" spans="1:10" x14ac:dyDescent="0.3">
      <c r="A58" s="2">
        <v>46274.160798611112</v>
      </c>
      <c r="B58" s="3" t="s">
        <v>41</v>
      </c>
      <c r="C58" s="3" t="s">
        <v>30</v>
      </c>
      <c r="D58" s="3" t="s">
        <v>24</v>
      </c>
      <c r="E58" s="3" t="s">
        <v>53</v>
      </c>
      <c r="F58" s="3" t="s">
        <v>20</v>
      </c>
      <c r="G58" s="3">
        <v>85</v>
      </c>
      <c r="H58" s="3">
        <v>55</v>
      </c>
      <c r="I58" s="3">
        <v>19</v>
      </c>
      <c r="J58" s="3" t="s">
        <v>15</v>
      </c>
    </row>
    <row r="59" spans="1:10" x14ac:dyDescent="0.3">
      <c r="A59" s="2">
        <v>46274.306527777779</v>
      </c>
      <c r="B59" s="3" t="s">
        <v>10</v>
      </c>
      <c r="C59" s="3" t="s">
        <v>39</v>
      </c>
      <c r="D59" s="3" t="s">
        <v>28</v>
      </c>
      <c r="E59" s="3" t="s">
        <v>53</v>
      </c>
      <c r="F59" s="3" t="s">
        <v>33</v>
      </c>
      <c r="G59" s="3">
        <v>481</v>
      </c>
      <c r="H59" s="3">
        <v>61</v>
      </c>
      <c r="I59" s="3">
        <v>8</v>
      </c>
      <c r="J59" s="3" t="s">
        <v>29</v>
      </c>
    </row>
    <row r="60" spans="1:10" x14ac:dyDescent="0.3">
      <c r="A60" s="2">
        <v>46274.452256944453</v>
      </c>
      <c r="B60" s="3" t="s">
        <v>44</v>
      </c>
      <c r="C60" s="3" t="s">
        <v>11</v>
      </c>
      <c r="D60" s="3" t="s">
        <v>28</v>
      </c>
      <c r="E60" s="3" t="s">
        <v>53</v>
      </c>
      <c r="F60" s="3" t="s">
        <v>20</v>
      </c>
      <c r="G60" s="3">
        <v>101</v>
      </c>
      <c r="H60" s="3">
        <v>87</v>
      </c>
      <c r="I60" s="3">
        <v>14</v>
      </c>
      <c r="J60" s="3" t="s">
        <v>15</v>
      </c>
    </row>
    <row r="61" spans="1:10" x14ac:dyDescent="0.3">
      <c r="A61" s="2">
        <v>46274.597986111112</v>
      </c>
      <c r="B61" s="3" t="s">
        <v>16</v>
      </c>
      <c r="C61" s="3" t="s">
        <v>30</v>
      </c>
      <c r="D61" s="3" t="s">
        <v>28</v>
      </c>
      <c r="E61" s="3" t="s">
        <v>47</v>
      </c>
      <c r="F61" s="3" t="s">
        <v>14</v>
      </c>
      <c r="G61" s="3">
        <v>370</v>
      </c>
      <c r="H61" s="3">
        <v>54</v>
      </c>
      <c r="I61" s="3">
        <v>12</v>
      </c>
      <c r="J61" s="3" t="s">
        <v>15</v>
      </c>
    </row>
    <row r="62" spans="1:10" x14ac:dyDescent="0.3">
      <c r="A62" s="2">
        <v>46274.743715277778</v>
      </c>
      <c r="B62" s="3" t="s">
        <v>34</v>
      </c>
      <c r="C62" s="3" t="s">
        <v>23</v>
      </c>
      <c r="D62" s="3" t="s">
        <v>28</v>
      </c>
      <c r="E62" s="3" t="s">
        <v>35</v>
      </c>
      <c r="F62" s="3" t="s">
        <v>14</v>
      </c>
      <c r="G62" s="3">
        <v>254</v>
      </c>
      <c r="H62" s="3">
        <v>98</v>
      </c>
      <c r="I62" s="3">
        <v>8</v>
      </c>
      <c r="J62" s="3" t="s">
        <v>29</v>
      </c>
    </row>
    <row r="63" spans="1:10" x14ac:dyDescent="0.3">
      <c r="A63" s="2">
        <v>46274.889444444438</v>
      </c>
      <c r="B63" s="3" t="s">
        <v>41</v>
      </c>
      <c r="C63" s="3" t="s">
        <v>30</v>
      </c>
      <c r="D63" s="3" t="s">
        <v>18</v>
      </c>
      <c r="E63" s="3" t="s">
        <v>46</v>
      </c>
      <c r="F63" s="3" t="s">
        <v>26</v>
      </c>
      <c r="G63" s="3">
        <v>264</v>
      </c>
      <c r="H63" s="3">
        <v>79</v>
      </c>
      <c r="I63" s="3">
        <v>9</v>
      </c>
      <c r="J63" s="3" t="s">
        <v>15</v>
      </c>
    </row>
    <row r="64" spans="1:10" x14ac:dyDescent="0.3">
      <c r="A64" s="2">
        <v>46275.035173611112</v>
      </c>
      <c r="B64" s="3" t="s">
        <v>41</v>
      </c>
      <c r="C64" s="3" t="s">
        <v>39</v>
      </c>
      <c r="D64" s="3" t="s">
        <v>12</v>
      </c>
      <c r="E64" s="3" t="s">
        <v>48</v>
      </c>
      <c r="F64" s="3" t="s">
        <v>14</v>
      </c>
      <c r="G64" s="3">
        <v>228</v>
      </c>
      <c r="H64" s="3">
        <v>87</v>
      </c>
      <c r="I64" s="3">
        <v>7</v>
      </c>
      <c r="J64" s="3" t="s">
        <v>15</v>
      </c>
    </row>
    <row r="65" spans="1:10" x14ac:dyDescent="0.3">
      <c r="A65" s="2">
        <v>46275.180902777778</v>
      </c>
      <c r="B65" s="3" t="s">
        <v>22</v>
      </c>
      <c r="C65" s="3" t="s">
        <v>11</v>
      </c>
      <c r="D65" s="3" t="s">
        <v>31</v>
      </c>
      <c r="E65" s="3" t="s">
        <v>52</v>
      </c>
      <c r="F65" s="3" t="s">
        <v>20</v>
      </c>
      <c r="G65" s="3">
        <v>143</v>
      </c>
      <c r="H65" s="3">
        <v>54</v>
      </c>
      <c r="I65" s="3">
        <v>12</v>
      </c>
      <c r="J65" s="3" t="s">
        <v>29</v>
      </c>
    </row>
    <row r="66" spans="1:10" x14ac:dyDescent="0.3">
      <c r="A66" s="2">
        <v>46275.326631944437</v>
      </c>
      <c r="B66" s="3" t="s">
        <v>27</v>
      </c>
      <c r="C66" s="3" t="s">
        <v>30</v>
      </c>
      <c r="D66" s="3" t="s">
        <v>24</v>
      </c>
      <c r="E66" s="3" t="s">
        <v>50</v>
      </c>
      <c r="F66" s="3" t="s">
        <v>20</v>
      </c>
      <c r="G66" s="3">
        <v>123</v>
      </c>
      <c r="H66" s="3">
        <v>75</v>
      </c>
      <c r="I66" s="3">
        <v>13</v>
      </c>
      <c r="J66" s="3" t="s">
        <v>29</v>
      </c>
    </row>
    <row r="67" spans="1:10" x14ac:dyDescent="0.3">
      <c r="A67" s="2">
        <v>46275.472361111111</v>
      </c>
      <c r="B67" s="3" t="s">
        <v>27</v>
      </c>
      <c r="C67" s="3" t="s">
        <v>30</v>
      </c>
      <c r="D67" s="3" t="s">
        <v>18</v>
      </c>
      <c r="E67" s="3" t="s">
        <v>48</v>
      </c>
      <c r="F67" s="3" t="s">
        <v>26</v>
      </c>
      <c r="G67" s="3">
        <v>140</v>
      </c>
      <c r="H67" s="3">
        <v>64</v>
      </c>
      <c r="I67" s="3">
        <v>12</v>
      </c>
      <c r="J67" s="3" t="s">
        <v>15</v>
      </c>
    </row>
    <row r="68" spans="1:10" x14ac:dyDescent="0.3">
      <c r="A68" s="2">
        <v>46275.618090277778</v>
      </c>
      <c r="B68" s="3" t="s">
        <v>10</v>
      </c>
      <c r="C68" s="3" t="s">
        <v>23</v>
      </c>
      <c r="D68" s="3" t="s">
        <v>24</v>
      </c>
      <c r="E68" s="3" t="s">
        <v>43</v>
      </c>
      <c r="F68" s="3" t="s">
        <v>20</v>
      </c>
      <c r="G68" s="3">
        <v>217</v>
      </c>
      <c r="H68" s="3">
        <v>59</v>
      </c>
      <c r="I68" s="3">
        <v>7</v>
      </c>
      <c r="J68" s="3" t="s">
        <v>21</v>
      </c>
    </row>
    <row r="69" spans="1:10" x14ac:dyDescent="0.3">
      <c r="A69" s="2">
        <v>46275.763819444437</v>
      </c>
      <c r="B69" s="3" t="s">
        <v>51</v>
      </c>
      <c r="C69" s="3" t="s">
        <v>11</v>
      </c>
      <c r="D69" s="3" t="s">
        <v>12</v>
      </c>
      <c r="E69" s="3" t="s">
        <v>40</v>
      </c>
      <c r="F69" s="3" t="s">
        <v>20</v>
      </c>
      <c r="G69" s="3">
        <v>132</v>
      </c>
      <c r="H69" s="3">
        <v>99</v>
      </c>
      <c r="I69" s="3">
        <v>10</v>
      </c>
      <c r="J69" s="3" t="s">
        <v>29</v>
      </c>
    </row>
    <row r="70" spans="1:10" x14ac:dyDescent="0.3">
      <c r="A70" s="2">
        <v>46275.909548611111</v>
      </c>
      <c r="B70" s="3" t="s">
        <v>51</v>
      </c>
      <c r="C70" s="3" t="s">
        <v>11</v>
      </c>
      <c r="D70" s="3" t="s">
        <v>12</v>
      </c>
      <c r="E70" s="3" t="s">
        <v>53</v>
      </c>
      <c r="F70" s="3" t="s">
        <v>14</v>
      </c>
      <c r="G70" s="3">
        <v>387</v>
      </c>
      <c r="H70" s="3">
        <v>51</v>
      </c>
      <c r="I70" s="3">
        <v>10</v>
      </c>
      <c r="J70" s="3" t="s">
        <v>15</v>
      </c>
    </row>
    <row r="71" spans="1:10" x14ac:dyDescent="0.3">
      <c r="A71" s="2">
        <v>46276.055277777778</v>
      </c>
      <c r="B71" s="3" t="s">
        <v>16</v>
      </c>
      <c r="C71" s="3" t="s">
        <v>23</v>
      </c>
      <c r="D71" s="3" t="s">
        <v>18</v>
      </c>
      <c r="E71" s="3" t="s">
        <v>48</v>
      </c>
      <c r="F71" s="3" t="s">
        <v>14</v>
      </c>
      <c r="G71" s="3">
        <v>169</v>
      </c>
      <c r="H71" s="3">
        <v>52</v>
      </c>
      <c r="I71" s="3">
        <v>5</v>
      </c>
      <c r="J71" s="3" t="s">
        <v>29</v>
      </c>
    </row>
    <row r="72" spans="1:10" x14ac:dyDescent="0.3">
      <c r="A72" s="2">
        <v>46276.201006944437</v>
      </c>
      <c r="B72" s="3" t="s">
        <v>41</v>
      </c>
      <c r="C72" s="3" t="s">
        <v>11</v>
      </c>
      <c r="D72" s="3" t="s">
        <v>31</v>
      </c>
      <c r="E72" s="3" t="s">
        <v>36</v>
      </c>
      <c r="F72" s="3" t="s">
        <v>14</v>
      </c>
      <c r="G72" s="3">
        <v>84</v>
      </c>
      <c r="H72" s="3">
        <v>91</v>
      </c>
      <c r="I72" s="3">
        <v>18</v>
      </c>
      <c r="J72" s="3" t="s">
        <v>21</v>
      </c>
    </row>
    <row r="73" spans="1:10" x14ac:dyDescent="0.3">
      <c r="A73" s="2">
        <v>46276.346736111111</v>
      </c>
      <c r="B73" s="3" t="s">
        <v>41</v>
      </c>
      <c r="C73" s="3" t="s">
        <v>17</v>
      </c>
      <c r="D73" s="3" t="s">
        <v>31</v>
      </c>
      <c r="E73" s="3" t="s">
        <v>19</v>
      </c>
      <c r="F73" s="3" t="s">
        <v>33</v>
      </c>
      <c r="G73" s="3">
        <v>368</v>
      </c>
      <c r="H73" s="3">
        <v>95</v>
      </c>
      <c r="I73" s="3">
        <v>15</v>
      </c>
      <c r="J73" s="3" t="s">
        <v>29</v>
      </c>
    </row>
    <row r="74" spans="1:10" x14ac:dyDescent="0.3">
      <c r="A74" s="2">
        <v>46276.492465277777</v>
      </c>
      <c r="B74" s="3" t="s">
        <v>34</v>
      </c>
      <c r="C74" s="3" t="s">
        <v>17</v>
      </c>
      <c r="D74" s="3" t="s">
        <v>12</v>
      </c>
      <c r="E74" s="3" t="s">
        <v>43</v>
      </c>
      <c r="F74" s="3" t="s">
        <v>26</v>
      </c>
      <c r="G74" s="3">
        <v>290</v>
      </c>
      <c r="H74" s="3">
        <v>84</v>
      </c>
      <c r="I74" s="3">
        <v>20</v>
      </c>
      <c r="J74" s="3" t="s">
        <v>15</v>
      </c>
    </row>
    <row r="75" spans="1:10" x14ac:dyDescent="0.3">
      <c r="A75" s="2">
        <v>46276.638194444437</v>
      </c>
      <c r="B75" s="3" t="s">
        <v>51</v>
      </c>
      <c r="C75" s="3" t="s">
        <v>17</v>
      </c>
      <c r="D75" s="3" t="s">
        <v>18</v>
      </c>
      <c r="E75" s="3" t="s">
        <v>46</v>
      </c>
      <c r="F75" s="3" t="s">
        <v>26</v>
      </c>
      <c r="G75" s="3">
        <v>386</v>
      </c>
      <c r="H75" s="3">
        <v>82</v>
      </c>
      <c r="I75" s="3">
        <v>7</v>
      </c>
      <c r="J75" s="3" t="s">
        <v>15</v>
      </c>
    </row>
    <row r="76" spans="1:10" x14ac:dyDescent="0.3">
      <c r="A76" s="2">
        <v>46276.78392361111</v>
      </c>
      <c r="B76" s="3" t="s">
        <v>22</v>
      </c>
      <c r="C76" s="3" t="s">
        <v>17</v>
      </c>
      <c r="D76" s="3" t="s">
        <v>18</v>
      </c>
      <c r="E76" s="3" t="s">
        <v>36</v>
      </c>
      <c r="F76" s="3" t="s">
        <v>26</v>
      </c>
      <c r="G76" s="3">
        <v>244</v>
      </c>
      <c r="H76" s="3">
        <v>84</v>
      </c>
      <c r="I76" s="3">
        <v>12</v>
      </c>
      <c r="J76" s="3" t="s">
        <v>29</v>
      </c>
    </row>
    <row r="77" spans="1:10" x14ac:dyDescent="0.3">
      <c r="A77" s="2">
        <v>46276.929652777777</v>
      </c>
      <c r="B77" s="3" t="s">
        <v>51</v>
      </c>
      <c r="C77" s="3" t="s">
        <v>30</v>
      </c>
      <c r="D77" s="3" t="s">
        <v>18</v>
      </c>
      <c r="E77" s="3" t="s">
        <v>35</v>
      </c>
      <c r="F77" s="3" t="s">
        <v>26</v>
      </c>
      <c r="G77" s="3">
        <v>101</v>
      </c>
      <c r="H77" s="3">
        <v>62</v>
      </c>
      <c r="I77" s="3">
        <v>13</v>
      </c>
      <c r="J77" s="3" t="s">
        <v>21</v>
      </c>
    </row>
    <row r="78" spans="1:10" x14ac:dyDescent="0.3">
      <c r="A78" s="2">
        <v>46277.075381944444</v>
      </c>
      <c r="B78" s="3" t="s">
        <v>44</v>
      </c>
      <c r="C78" s="3" t="s">
        <v>11</v>
      </c>
      <c r="D78" s="3" t="s">
        <v>31</v>
      </c>
      <c r="E78" s="3" t="s">
        <v>50</v>
      </c>
      <c r="F78" s="3" t="s">
        <v>26</v>
      </c>
      <c r="G78" s="3">
        <v>215</v>
      </c>
      <c r="H78" s="3">
        <v>96</v>
      </c>
      <c r="I78" s="3">
        <v>14</v>
      </c>
      <c r="J78" s="3" t="s">
        <v>29</v>
      </c>
    </row>
    <row r="79" spans="1:10" x14ac:dyDescent="0.3">
      <c r="A79" s="2">
        <v>46277.22111111111</v>
      </c>
      <c r="B79" s="3" t="s">
        <v>16</v>
      </c>
      <c r="C79" s="3" t="s">
        <v>17</v>
      </c>
      <c r="D79" s="3" t="s">
        <v>18</v>
      </c>
      <c r="E79" s="3" t="s">
        <v>47</v>
      </c>
      <c r="F79" s="3" t="s">
        <v>26</v>
      </c>
      <c r="G79" s="3">
        <v>202</v>
      </c>
      <c r="H79" s="3">
        <v>77</v>
      </c>
      <c r="I79" s="3">
        <v>7</v>
      </c>
      <c r="J79" s="3" t="s">
        <v>21</v>
      </c>
    </row>
    <row r="80" spans="1:10" x14ac:dyDescent="0.3">
      <c r="A80" s="2">
        <v>46277.366828703707</v>
      </c>
      <c r="B80" s="3" t="s">
        <v>34</v>
      </c>
      <c r="C80" s="3" t="s">
        <v>23</v>
      </c>
      <c r="D80" s="3" t="s">
        <v>28</v>
      </c>
      <c r="E80" s="3" t="s">
        <v>48</v>
      </c>
      <c r="F80" s="3" t="s">
        <v>20</v>
      </c>
      <c r="G80" s="3">
        <v>249</v>
      </c>
      <c r="H80" s="3">
        <v>52</v>
      </c>
      <c r="I80" s="3">
        <v>10</v>
      </c>
      <c r="J80" s="3" t="s">
        <v>15</v>
      </c>
    </row>
    <row r="81" spans="1:10" x14ac:dyDescent="0.3">
      <c r="A81" s="2">
        <v>46277.512557870366</v>
      </c>
      <c r="B81" s="3" t="s">
        <v>10</v>
      </c>
      <c r="C81" s="3" t="s">
        <v>30</v>
      </c>
      <c r="D81" s="3" t="s">
        <v>31</v>
      </c>
      <c r="E81" s="3" t="s">
        <v>19</v>
      </c>
      <c r="F81" s="3" t="s">
        <v>33</v>
      </c>
      <c r="G81" s="3">
        <v>458</v>
      </c>
      <c r="H81" s="3">
        <v>87</v>
      </c>
      <c r="I81" s="3">
        <v>10</v>
      </c>
      <c r="J81" s="3" t="s">
        <v>15</v>
      </c>
    </row>
    <row r="82" spans="1:10" x14ac:dyDescent="0.3">
      <c r="A82" s="2">
        <v>46277.65828703704</v>
      </c>
      <c r="B82" s="3" t="s">
        <v>10</v>
      </c>
      <c r="C82" s="3" t="s">
        <v>23</v>
      </c>
      <c r="D82" s="3" t="s">
        <v>31</v>
      </c>
      <c r="E82" s="3" t="s">
        <v>42</v>
      </c>
      <c r="F82" s="3" t="s">
        <v>26</v>
      </c>
      <c r="G82" s="3">
        <v>123</v>
      </c>
      <c r="H82" s="3">
        <v>81</v>
      </c>
      <c r="I82" s="3">
        <v>15</v>
      </c>
      <c r="J82" s="3" t="s">
        <v>21</v>
      </c>
    </row>
    <row r="83" spans="1:10" x14ac:dyDescent="0.3">
      <c r="A83" s="2">
        <v>46277.804016203707</v>
      </c>
      <c r="B83" s="3" t="s">
        <v>22</v>
      </c>
      <c r="C83" s="3" t="s">
        <v>17</v>
      </c>
      <c r="D83" s="3" t="s">
        <v>31</v>
      </c>
      <c r="E83" s="3" t="s">
        <v>46</v>
      </c>
      <c r="F83" s="3" t="s">
        <v>20</v>
      </c>
      <c r="G83" s="3">
        <v>196</v>
      </c>
      <c r="H83" s="3">
        <v>96</v>
      </c>
      <c r="I83" s="3">
        <v>11</v>
      </c>
      <c r="J83" s="3" t="s">
        <v>21</v>
      </c>
    </row>
    <row r="84" spans="1:10" x14ac:dyDescent="0.3">
      <c r="A84" s="2">
        <v>46277.949745370373</v>
      </c>
      <c r="B84" s="3" t="s">
        <v>51</v>
      </c>
      <c r="C84" s="3" t="s">
        <v>23</v>
      </c>
      <c r="D84" s="3" t="s">
        <v>12</v>
      </c>
      <c r="E84" s="3" t="s">
        <v>36</v>
      </c>
      <c r="F84" s="3" t="s">
        <v>33</v>
      </c>
      <c r="G84" s="3">
        <v>77</v>
      </c>
      <c r="H84" s="3">
        <v>99</v>
      </c>
      <c r="I84" s="3">
        <v>15</v>
      </c>
      <c r="J84" s="3" t="s">
        <v>21</v>
      </c>
    </row>
    <row r="85" spans="1:10" x14ac:dyDescent="0.3">
      <c r="A85" s="2">
        <v>46278.09547453704</v>
      </c>
      <c r="B85" s="3" t="s">
        <v>41</v>
      </c>
      <c r="C85" s="3" t="s">
        <v>23</v>
      </c>
      <c r="D85" s="3" t="s">
        <v>18</v>
      </c>
      <c r="E85" s="3" t="s">
        <v>45</v>
      </c>
      <c r="F85" s="3" t="s">
        <v>26</v>
      </c>
      <c r="G85" s="3">
        <v>288</v>
      </c>
      <c r="H85" s="3">
        <v>91</v>
      </c>
      <c r="I85" s="3">
        <v>7</v>
      </c>
      <c r="J85" s="3" t="s">
        <v>15</v>
      </c>
    </row>
    <row r="86" spans="1:10" x14ac:dyDescent="0.3">
      <c r="A86" s="2">
        <v>46278.241203703707</v>
      </c>
      <c r="B86" s="3" t="s">
        <v>22</v>
      </c>
      <c r="C86" s="3" t="s">
        <v>23</v>
      </c>
      <c r="D86" s="3" t="s">
        <v>24</v>
      </c>
      <c r="E86" s="3" t="s">
        <v>54</v>
      </c>
      <c r="F86" s="3" t="s">
        <v>20</v>
      </c>
      <c r="G86" s="3">
        <v>119</v>
      </c>
      <c r="H86" s="3">
        <v>80</v>
      </c>
      <c r="I86" s="3">
        <v>7</v>
      </c>
      <c r="J86" s="3" t="s">
        <v>15</v>
      </c>
    </row>
    <row r="87" spans="1:10" x14ac:dyDescent="0.3">
      <c r="A87" s="2">
        <v>46278.386932870373</v>
      </c>
      <c r="B87" s="3" t="s">
        <v>16</v>
      </c>
      <c r="C87" s="3" t="s">
        <v>30</v>
      </c>
      <c r="D87" s="3" t="s">
        <v>31</v>
      </c>
      <c r="E87" s="3" t="s">
        <v>35</v>
      </c>
      <c r="F87" s="3" t="s">
        <v>14</v>
      </c>
      <c r="G87" s="3">
        <v>369</v>
      </c>
      <c r="H87" s="3">
        <v>52</v>
      </c>
      <c r="I87" s="3">
        <v>7</v>
      </c>
      <c r="J87" s="3" t="s">
        <v>21</v>
      </c>
    </row>
    <row r="88" spans="1:10" x14ac:dyDescent="0.3">
      <c r="A88" s="2">
        <v>46278.53266203704</v>
      </c>
      <c r="B88" s="3" t="s">
        <v>27</v>
      </c>
      <c r="C88" s="3" t="s">
        <v>11</v>
      </c>
      <c r="D88" s="3" t="s">
        <v>31</v>
      </c>
      <c r="E88" s="3" t="s">
        <v>36</v>
      </c>
      <c r="F88" s="3" t="s">
        <v>33</v>
      </c>
      <c r="G88" s="3">
        <v>108</v>
      </c>
      <c r="H88" s="3">
        <v>59</v>
      </c>
      <c r="I88" s="3">
        <v>18</v>
      </c>
      <c r="J88" s="3" t="s">
        <v>21</v>
      </c>
    </row>
    <row r="89" spans="1:10" x14ac:dyDescent="0.3">
      <c r="A89" s="2">
        <v>46278.678391203714</v>
      </c>
      <c r="B89" s="3" t="s">
        <v>22</v>
      </c>
      <c r="C89" s="3" t="s">
        <v>11</v>
      </c>
      <c r="D89" s="3" t="s">
        <v>31</v>
      </c>
      <c r="E89" s="3" t="s">
        <v>47</v>
      </c>
      <c r="F89" s="3" t="s">
        <v>33</v>
      </c>
      <c r="G89" s="3">
        <v>176</v>
      </c>
      <c r="H89" s="3">
        <v>71</v>
      </c>
      <c r="I89" s="3">
        <v>13</v>
      </c>
      <c r="J89" s="3" t="s">
        <v>29</v>
      </c>
    </row>
    <row r="90" spans="1:10" x14ac:dyDescent="0.3">
      <c r="A90" s="2">
        <v>46278.824120370373</v>
      </c>
      <c r="B90" s="3" t="s">
        <v>16</v>
      </c>
      <c r="C90" s="3" t="s">
        <v>11</v>
      </c>
      <c r="D90" s="3" t="s">
        <v>18</v>
      </c>
      <c r="E90" s="3" t="s">
        <v>54</v>
      </c>
      <c r="F90" s="3" t="s">
        <v>14</v>
      </c>
      <c r="G90" s="3">
        <v>401</v>
      </c>
      <c r="H90" s="3">
        <v>96</v>
      </c>
      <c r="I90" s="3">
        <v>17</v>
      </c>
      <c r="J90" s="3" t="s">
        <v>29</v>
      </c>
    </row>
    <row r="91" spans="1:10" x14ac:dyDescent="0.3">
      <c r="A91" s="2">
        <v>46278.969849537039</v>
      </c>
      <c r="B91" s="3" t="s">
        <v>10</v>
      </c>
      <c r="C91" s="3" t="s">
        <v>17</v>
      </c>
      <c r="D91" s="3" t="s">
        <v>31</v>
      </c>
      <c r="E91" s="3" t="s">
        <v>38</v>
      </c>
      <c r="F91" s="3" t="s">
        <v>14</v>
      </c>
      <c r="G91" s="3">
        <v>268</v>
      </c>
      <c r="H91" s="3">
        <v>100</v>
      </c>
      <c r="I91" s="3">
        <v>18</v>
      </c>
      <c r="J91" s="3" t="s">
        <v>21</v>
      </c>
    </row>
    <row r="92" spans="1:10" x14ac:dyDescent="0.3">
      <c r="A92" s="2">
        <v>46279.115578703713</v>
      </c>
      <c r="B92" s="3" t="s">
        <v>44</v>
      </c>
      <c r="C92" s="3" t="s">
        <v>39</v>
      </c>
      <c r="D92" s="3" t="s">
        <v>24</v>
      </c>
      <c r="E92" s="3" t="s">
        <v>42</v>
      </c>
      <c r="F92" s="3" t="s">
        <v>33</v>
      </c>
      <c r="G92" s="3">
        <v>283</v>
      </c>
      <c r="H92" s="3">
        <v>72</v>
      </c>
      <c r="I92" s="3">
        <v>20</v>
      </c>
      <c r="J92" s="3" t="s">
        <v>21</v>
      </c>
    </row>
    <row r="93" spans="1:10" x14ac:dyDescent="0.3">
      <c r="A93" s="2">
        <v>46279.261307870373</v>
      </c>
      <c r="B93" s="3" t="s">
        <v>44</v>
      </c>
      <c r="C93" s="3" t="s">
        <v>30</v>
      </c>
      <c r="D93" s="3" t="s">
        <v>18</v>
      </c>
      <c r="E93" s="3" t="s">
        <v>53</v>
      </c>
      <c r="F93" s="3" t="s">
        <v>20</v>
      </c>
      <c r="G93" s="3">
        <v>422</v>
      </c>
      <c r="H93" s="3">
        <v>95</v>
      </c>
      <c r="I93" s="3">
        <v>11</v>
      </c>
      <c r="J93" s="3" t="s">
        <v>15</v>
      </c>
    </row>
    <row r="94" spans="1:10" x14ac:dyDescent="0.3">
      <c r="A94" s="2">
        <v>46279.407037037039</v>
      </c>
      <c r="B94" s="3" t="s">
        <v>34</v>
      </c>
      <c r="C94" s="3" t="s">
        <v>17</v>
      </c>
      <c r="D94" s="3" t="s">
        <v>24</v>
      </c>
      <c r="E94" s="3" t="s">
        <v>52</v>
      </c>
      <c r="F94" s="3" t="s">
        <v>20</v>
      </c>
      <c r="G94" s="3">
        <v>429</v>
      </c>
      <c r="H94" s="3">
        <v>66</v>
      </c>
      <c r="I94" s="3">
        <v>12</v>
      </c>
      <c r="J94" s="3" t="s">
        <v>21</v>
      </c>
    </row>
    <row r="95" spans="1:10" x14ac:dyDescent="0.3">
      <c r="A95" s="2">
        <v>46279.552766203713</v>
      </c>
      <c r="B95" s="3" t="s">
        <v>27</v>
      </c>
      <c r="C95" s="3" t="s">
        <v>30</v>
      </c>
      <c r="D95" s="3" t="s">
        <v>28</v>
      </c>
      <c r="E95" s="3" t="s">
        <v>52</v>
      </c>
      <c r="F95" s="3" t="s">
        <v>26</v>
      </c>
      <c r="G95" s="3">
        <v>208</v>
      </c>
      <c r="H95" s="3">
        <v>50</v>
      </c>
      <c r="I95" s="3">
        <v>17</v>
      </c>
      <c r="J95" s="3" t="s">
        <v>15</v>
      </c>
    </row>
    <row r="96" spans="1:10" x14ac:dyDescent="0.3">
      <c r="A96" s="2">
        <v>46279.698495370372</v>
      </c>
      <c r="B96" s="3" t="s">
        <v>44</v>
      </c>
      <c r="C96" s="3" t="s">
        <v>30</v>
      </c>
      <c r="D96" s="3" t="s">
        <v>28</v>
      </c>
      <c r="E96" s="3" t="s">
        <v>49</v>
      </c>
      <c r="F96" s="3" t="s">
        <v>14</v>
      </c>
      <c r="G96" s="3">
        <v>480</v>
      </c>
      <c r="H96" s="3">
        <v>80</v>
      </c>
      <c r="I96" s="3">
        <v>14</v>
      </c>
      <c r="J96" s="3" t="s">
        <v>21</v>
      </c>
    </row>
    <row r="97" spans="1:10" x14ac:dyDescent="0.3">
      <c r="A97" s="2">
        <v>46279.844224537039</v>
      </c>
      <c r="B97" s="3" t="s">
        <v>34</v>
      </c>
      <c r="C97" s="3" t="s">
        <v>39</v>
      </c>
      <c r="D97" s="3" t="s">
        <v>28</v>
      </c>
      <c r="E97" s="3" t="s">
        <v>53</v>
      </c>
      <c r="F97" s="3" t="s">
        <v>14</v>
      </c>
      <c r="G97" s="3">
        <v>244</v>
      </c>
      <c r="H97" s="3">
        <v>52</v>
      </c>
      <c r="I97" s="3">
        <v>14</v>
      </c>
      <c r="J97" s="3" t="s">
        <v>21</v>
      </c>
    </row>
    <row r="98" spans="1:10" x14ac:dyDescent="0.3">
      <c r="A98" s="2">
        <v>46279.989953703713</v>
      </c>
      <c r="B98" s="3" t="s">
        <v>27</v>
      </c>
      <c r="C98" s="3" t="s">
        <v>11</v>
      </c>
      <c r="D98" s="3" t="s">
        <v>28</v>
      </c>
      <c r="E98" s="3" t="s">
        <v>40</v>
      </c>
      <c r="F98" s="3" t="s">
        <v>26</v>
      </c>
      <c r="G98" s="3">
        <v>379</v>
      </c>
      <c r="H98" s="3">
        <v>78</v>
      </c>
      <c r="I98" s="3">
        <v>15</v>
      </c>
      <c r="J98" s="3" t="s">
        <v>15</v>
      </c>
    </row>
    <row r="99" spans="1:10" x14ac:dyDescent="0.3">
      <c r="A99" s="2">
        <v>46280.135682870372</v>
      </c>
      <c r="B99" s="3" t="s">
        <v>41</v>
      </c>
      <c r="C99" s="3" t="s">
        <v>39</v>
      </c>
      <c r="D99" s="3" t="s">
        <v>28</v>
      </c>
      <c r="E99" s="3" t="s">
        <v>19</v>
      </c>
      <c r="F99" s="3" t="s">
        <v>20</v>
      </c>
      <c r="G99" s="3">
        <v>417</v>
      </c>
      <c r="H99" s="3">
        <v>80</v>
      </c>
      <c r="I99" s="3">
        <v>20</v>
      </c>
      <c r="J99" s="3" t="s">
        <v>15</v>
      </c>
    </row>
    <row r="100" spans="1:10" x14ac:dyDescent="0.3">
      <c r="A100" s="2">
        <v>46280.281412037039</v>
      </c>
      <c r="B100" s="3" t="s">
        <v>16</v>
      </c>
      <c r="C100" s="3" t="s">
        <v>39</v>
      </c>
      <c r="D100" s="3" t="s">
        <v>28</v>
      </c>
      <c r="E100" s="3" t="s">
        <v>19</v>
      </c>
      <c r="F100" s="3" t="s">
        <v>20</v>
      </c>
      <c r="G100" s="3">
        <v>407</v>
      </c>
      <c r="H100" s="3">
        <v>60</v>
      </c>
      <c r="I100" s="3">
        <v>11</v>
      </c>
      <c r="J100" s="3" t="s">
        <v>21</v>
      </c>
    </row>
    <row r="101" spans="1:10" x14ac:dyDescent="0.3">
      <c r="A101" s="2">
        <v>46280.427141203712</v>
      </c>
      <c r="B101" s="3" t="s">
        <v>41</v>
      </c>
      <c r="C101" s="3" t="s">
        <v>23</v>
      </c>
      <c r="D101" s="3" t="s">
        <v>18</v>
      </c>
      <c r="E101" s="3" t="s">
        <v>48</v>
      </c>
      <c r="F101" s="3" t="s">
        <v>33</v>
      </c>
      <c r="G101" s="3">
        <v>495</v>
      </c>
      <c r="H101" s="3">
        <v>63</v>
      </c>
      <c r="I101" s="3">
        <v>7</v>
      </c>
      <c r="J101" s="3" t="s">
        <v>29</v>
      </c>
    </row>
    <row r="102" spans="1:10" x14ac:dyDescent="0.3">
      <c r="A102" s="2">
        <v>46280.572858796288</v>
      </c>
      <c r="B102" s="3" t="s">
        <v>16</v>
      </c>
      <c r="C102" s="3" t="s">
        <v>17</v>
      </c>
      <c r="D102" s="3" t="s">
        <v>28</v>
      </c>
      <c r="E102" s="3" t="s">
        <v>13</v>
      </c>
      <c r="F102" s="3" t="s">
        <v>20</v>
      </c>
      <c r="G102" s="3">
        <v>271</v>
      </c>
      <c r="H102" s="3">
        <v>94</v>
      </c>
      <c r="I102" s="3">
        <v>20</v>
      </c>
      <c r="J102" s="3" t="s">
        <v>15</v>
      </c>
    </row>
    <row r="103" spans="1:10" x14ac:dyDescent="0.3">
      <c r="A103" s="2">
        <v>46280.718587962961</v>
      </c>
      <c r="B103" s="3" t="s">
        <v>41</v>
      </c>
      <c r="C103" s="3" t="s">
        <v>23</v>
      </c>
      <c r="D103" s="3" t="s">
        <v>12</v>
      </c>
      <c r="E103" s="3" t="s">
        <v>36</v>
      </c>
      <c r="F103" s="3" t="s">
        <v>33</v>
      </c>
      <c r="G103" s="3">
        <v>94</v>
      </c>
      <c r="H103" s="3">
        <v>97</v>
      </c>
      <c r="I103" s="3">
        <v>10</v>
      </c>
      <c r="J103" s="3" t="s">
        <v>21</v>
      </c>
    </row>
    <row r="104" spans="1:10" x14ac:dyDescent="0.3">
      <c r="A104" s="2">
        <v>46280.864317129628</v>
      </c>
      <c r="B104" s="3" t="s">
        <v>51</v>
      </c>
      <c r="C104" s="3" t="s">
        <v>17</v>
      </c>
      <c r="D104" s="3" t="s">
        <v>18</v>
      </c>
      <c r="E104" s="3" t="s">
        <v>40</v>
      </c>
      <c r="F104" s="3" t="s">
        <v>33</v>
      </c>
      <c r="G104" s="3">
        <v>382</v>
      </c>
      <c r="H104" s="3">
        <v>84</v>
      </c>
      <c r="I104" s="3">
        <v>19</v>
      </c>
      <c r="J104" s="3" t="s">
        <v>15</v>
      </c>
    </row>
    <row r="105" spans="1:10" x14ac:dyDescent="0.3">
      <c r="A105" s="2">
        <v>46281.010046296287</v>
      </c>
      <c r="B105" s="3" t="s">
        <v>16</v>
      </c>
      <c r="C105" s="3" t="s">
        <v>39</v>
      </c>
      <c r="D105" s="3" t="s">
        <v>18</v>
      </c>
      <c r="E105" s="3" t="s">
        <v>52</v>
      </c>
      <c r="F105" s="3" t="s">
        <v>14</v>
      </c>
      <c r="G105" s="3">
        <v>226</v>
      </c>
      <c r="H105" s="3">
        <v>75</v>
      </c>
      <c r="I105" s="3">
        <v>15</v>
      </c>
      <c r="J105" s="3" t="s">
        <v>21</v>
      </c>
    </row>
    <row r="106" spans="1:10" x14ac:dyDescent="0.3">
      <c r="A106" s="2">
        <v>46281.155775462961</v>
      </c>
      <c r="B106" s="3" t="s">
        <v>34</v>
      </c>
      <c r="C106" s="3" t="s">
        <v>17</v>
      </c>
      <c r="D106" s="3" t="s">
        <v>12</v>
      </c>
      <c r="E106" s="3" t="s">
        <v>43</v>
      </c>
      <c r="F106" s="3" t="s">
        <v>26</v>
      </c>
      <c r="G106" s="3">
        <v>463</v>
      </c>
      <c r="H106" s="3">
        <v>67</v>
      </c>
      <c r="I106" s="3">
        <v>8</v>
      </c>
      <c r="J106" s="3" t="s">
        <v>29</v>
      </c>
    </row>
    <row r="107" spans="1:10" x14ac:dyDescent="0.3">
      <c r="A107" s="2">
        <v>46281.301504629628</v>
      </c>
      <c r="B107" s="3" t="s">
        <v>34</v>
      </c>
      <c r="C107" s="3" t="s">
        <v>23</v>
      </c>
      <c r="D107" s="3" t="s">
        <v>28</v>
      </c>
      <c r="E107" s="3" t="s">
        <v>46</v>
      </c>
      <c r="F107" s="3" t="s">
        <v>14</v>
      </c>
      <c r="G107" s="3">
        <v>133</v>
      </c>
      <c r="H107" s="3">
        <v>84</v>
      </c>
      <c r="I107" s="3">
        <v>9</v>
      </c>
      <c r="J107" s="3" t="s">
        <v>21</v>
      </c>
    </row>
    <row r="108" spans="1:10" x14ac:dyDescent="0.3">
      <c r="A108" s="2">
        <v>46281.447233796287</v>
      </c>
      <c r="B108" s="3" t="s">
        <v>22</v>
      </c>
      <c r="C108" s="3" t="s">
        <v>11</v>
      </c>
      <c r="D108" s="3" t="s">
        <v>24</v>
      </c>
      <c r="E108" s="3" t="s">
        <v>48</v>
      </c>
      <c r="F108" s="3" t="s">
        <v>26</v>
      </c>
      <c r="G108" s="3">
        <v>147</v>
      </c>
      <c r="H108" s="3">
        <v>67</v>
      </c>
      <c r="I108" s="3">
        <v>5</v>
      </c>
      <c r="J108" s="3" t="s">
        <v>15</v>
      </c>
    </row>
    <row r="109" spans="1:10" x14ac:dyDescent="0.3">
      <c r="A109" s="2">
        <v>46281.592962962961</v>
      </c>
      <c r="B109" s="3" t="s">
        <v>27</v>
      </c>
      <c r="C109" s="3" t="s">
        <v>11</v>
      </c>
      <c r="D109" s="3" t="s">
        <v>24</v>
      </c>
      <c r="E109" s="3" t="s">
        <v>54</v>
      </c>
      <c r="F109" s="3" t="s">
        <v>14</v>
      </c>
      <c r="G109" s="3">
        <v>320</v>
      </c>
      <c r="H109" s="3">
        <v>69</v>
      </c>
      <c r="I109" s="3">
        <v>12</v>
      </c>
      <c r="J109" s="3" t="s">
        <v>21</v>
      </c>
    </row>
    <row r="110" spans="1:10" x14ac:dyDescent="0.3">
      <c r="A110" s="2">
        <v>46281.738692129627</v>
      </c>
      <c r="B110" s="3" t="s">
        <v>51</v>
      </c>
      <c r="C110" s="3" t="s">
        <v>23</v>
      </c>
      <c r="D110" s="3" t="s">
        <v>18</v>
      </c>
      <c r="E110" s="3" t="s">
        <v>25</v>
      </c>
      <c r="F110" s="3" t="s">
        <v>14</v>
      </c>
      <c r="G110" s="3">
        <v>125</v>
      </c>
      <c r="H110" s="3">
        <v>59</v>
      </c>
      <c r="I110" s="3">
        <v>10</v>
      </c>
      <c r="J110" s="3" t="s">
        <v>21</v>
      </c>
    </row>
    <row r="111" spans="1:10" x14ac:dyDescent="0.3">
      <c r="A111" s="2">
        <v>46281.884421296287</v>
      </c>
      <c r="B111" s="3" t="s">
        <v>10</v>
      </c>
      <c r="C111" s="3" t="s">
        <v>11</v>
      </c>
      <c r="D111" s="3" t="s">
        <v>18</v>
      </c>
      <c r="E111" s="3" t="s">
        <v>38</v>
      </c>
      <c r="F111" s="3" t="s">
        <v>26</v>
      </c>
      <c r="G111" s="3">
        <v>65</v>
      </c>
      <c r="H111" s="3">
        <v>64</v>
      </c>
      <c r="I111" s="3">
        <v>14</v>
      </c>
      <c r="J111" s="3" t="s">
        <v>21</v>
      </c>
    </row>
    <row r="112" spans="1:10" x14ac:dyDescent="0.3">
      <c r="A112" s="2">
        <v>46282.030150462961</v>
      </c>
      <c r="B112" s="3" t="s">
        <v>51</v>
      </c>
      <c r="C112" s="3" t="s">
        <v>39</v>
      </c>
      <c r="D112" s="3" t="s">
        <v>24</v>
      </c>
      <c r="E112" s="3" t="s">
        <v>45</v>
      </c>
      <c r="F112" s="3" t="s">
        <v>26</v>
      </c>
      <c r="G112" s="3">
        <v>256</v>
      </c>
      <c r="H112" s="3">
        <v>71</v>
      </c>
      <c r="I112" s="3">
        <v>7</v>
      </c>
      <c r="J112" s="3" t="s">
        <v>29</v>
      </c>
    </row>
    <row r="113" spans="1:10" x14ac:dyDescent="0.3">
      <c r="A113" s="2">
        <v>46282.175879629627</v>
      </c>
      <c r="B113" s="3" t="s">
        <v>10</v>
      </c>
      <c r="C113" s="3" t="s">
        <v>11</v>
      </c>
      <c r="D113" s="3" t="s">
        <v>12</v>
      </c>
      <c r="E113" s="3" t="s">
        <v>47</v>
      </c>
      <c r="F113" s="3" t="s">
        <v>14</v>
      </c>
      <c r="G113" s="3">
        <v>189</v>
      </c>
      <c r="H113" s="3">
        <v>51</v>
      </c>
      <c r="I113" s="3">
        <v>19</v>
      </c>
      <c r="J113" s="3" t="s">
        <v>29</v>
      </c>
    </row>
    <row r="114" spans="1:10" x14ac:dyDescent="0.3">
      <c r="A114" s="2">
        <v>46282.321608796286</v>
      </c>
      <c r="B114" s="3" t="s">
        <v>41</v>
      </c>
      <c r="C114" s="3" t="s">
        <v>23</v>
      </c>
      <c r="D114" s="3" t="s">
        <v>24</v>
      </c>
      <c r="E114" s="3" t="s">
        <v>32</v>
      </c>
      <c r="F114" s="3" t="s">
        <v>14</v>
      </c>
      <c r="G114" s="3">
        <v>252</v>
      </c>
      <c r="H114" s="3">
        <v>54</v>
      </c>
      <c r="I114" s="3">
        <v>12</v>
      </c>
      <c r="J114" s="3" t="s">
        <v>21</v>
      </c>
    </row>
    <row r="115" spans="1:10" x14ac:dyDescent="0.3">
      <c r="A115" s="2">
        <v>46282.46733796296</v>
      </c>
      <c r="B115" s="3" t="s">
        <v>10</v>
      </c>
      <c r="C115" s="3" t="s">
        <v>17</v>
      </c>
      <c r="D115" s="3" t="s">
        <v>12</v>
      </c>
      <c r="E115" s="3" t="s">
        <v>45</v>
      </c>
      <c r="F115" s="3" t="s">
        <v>26</v>
      </c>
      <c r="G115" s="3">
        <v>230</v>
      </c>
      <c r="H115" s="3">
        <v>52</v>
      </c>
      <c r="I115" s="3">
        <v>7</v>
      </c>
      <c r="J115" s="3" t="s">
        <v>21</v>
      </c>
    </row>
    <row r="116" spans="1:10" x14ac:dyDescent="0.3">
      <c r="A116" s="2">
        <v>46282.613067129627</v>
      </c>
      <c r="B116" s="3" t="s">
        <v>10</v>
      </c>
      <c r="C116" s="3" t="s">
        <v>11</v>
      </c>
      <c r="D116" s="3" t="s">
        <v>18</v>
      </c>
      <c r="E116" s="3" t="s">
        <v>19</v>
      </c>
      <c r="F116" s="3" t="s">
        <v>26</v>
      </c>
      <c r="G116" s="3">
        <v>450</v>
      </c>
      <c r="H116" s="3">
        <v>91</v>
      </c>
      <c r="I116" s="3">
        <v>15</v>
      </c>
      <c r="J116" s="3" t="s">
        <v>15</v>
      </c>
    </row>
    <row r="117" spans="1:10" x14ac:dyDescent="0.3">
      <c r="A117" s="2">
        <v>46282.758796296293</v>
      </c>
      <c r="B117" s="3" t="s">
        <v>34</v>
      </c>
      <c r="C117" s="3" t="s">
        <v>17</v>
      </c>
      <c r="D117" s="3" t="s">
        <v>12</v>
      </c>
      <c r="E117" s="3" t="s">
        <v>50</v>
      </c>
      <c r="F117" s="3" t="s">
        <v>14</v>
      </c>
      <c r="G117" s="3">
        <v>260</v>
      </c>
      <c r="H117" s="3">
        <v>70</v>
      </c>
      <c r="I117" s="3">
        <v>10</v>
      </c>
      <c r="J117" s="3" t="s">
        <v>15</v>
      </c>
    </row>
    <row r="118" spans="1:10" x14ac:dyDescent="0.3">
      <c r="A118" s="2">
        <v>46282.90452546296</v>
      </c>
      <c r="B118" s="3" t="s">
        <v>41</v>
      </c>
      <c r="C118" s="3" t="s">
        <v>23</v>
      </c>
      <c r="D118" s="3" t="s">
        <v>12</v>
      </c>
      <c r="E118" s="3" t="s">
        <v>25</v>
      </c>
      <c r="F118" s="3" t="s">
        <v>14</v>
      </c>
      <c r="G118" s="3">
        <v>169</v>
      </c>
      <c r="H118" s="3">
        <v>71</v>
      </c>
      <c r="I118" s="3">
        <v>12</v>
      </c>
      <c r="J118" s="3" t="s">
        <v>29</v>
      </c>
    </row>
    <row r="119" spans="1:10" x14ac:dyDescent="0.3">
      <c r="A119" s="2">
        <v>46283.050254629627</v>
      </c>
      <c r="B119" s="3" t="s">
        <v>51</v>
      </c>
      <c r="C119" s="3" t="s">
        <v>23</v>
      </c>
      <c r="D119" s="3" t="s">
        <v>24</v>
      </c>
      <c r="E119" s="3" t="s">
        <v>13</v>
      </c>
      <c r="F119" s="3" t="s">
        <v>33</v>
      </c>
      <c r="G119" s="3">
        <v>196</v>
      </c>
      <c r="H119" s="3">
        <v>94</v>
      </c>
      <c r="I119" s="3">
        <v>10</v>
      </c>
      <c r="J119" s="3" t="s">
        <v>15</v>
      </c>
    </row>
    <row r="120" spans="1:10" x14ac:dyDescent="0.3">
      <c r="A120" s="2">
        <v>46283.195983796293</v>
      </c>
      <c r="B120" s="3" t="s">
        <v>41</v>
      </c>
      <c r="C120" s="3" t="s">
        <v>30</v>
      </c>
      <c r="D120" s="3" t="s">
        <v>18</v>
      </c>
      <c r="E120" s="3" t="s">
        <v>45</v>
      </c>
      <c r="F120" s="3" t="s">
        <v>20</v>
      </c>
      <c r="G120" s="3">
        <v>73</v>
      </c>
      <c r="H120" s="3">
        <v>76</v>
      </c>
      <c r="I120" s="3">
        <v>7</v>
      </c>
      <c r="J120" s="3" t="s">
        <v>29</v>
      </c>
    </row>
    <row r="121" spans="1:10" x14ac:dyDescent="0.3">
      <c r="A121" s="2">
        <v>46283.34171296296</v>
      </c>
      <c r="B121" s="3" t="s">
        <v>22</v>
      </c>
      <c r="C121" s="3" t="s">
        <v>11</v>
      </c>
      <c r="D121" s="3" t="s">
        <v>24</v>
      </c>
      <c r="E121" s="3" t="s">
        <v>53</v>
      </c>
      <c r="F121" s="3" t="s">
        <v>20</v>
      </c>
      <c r="G121" s="3">
        <v>498</v>
      </c>
      <c r="H121" s="3">
        <v>86</v>
      </c>
      <c r="I121" s="3">
        <v>20</v>
      </c>
      <c r="J121" s="3" t="s">
        <v>21</v>
      </c>
    </row>
    <row r="122" spans="1:10" x14ac:dyDescent="0.3">
      <c r="A122" s="2">
        <v>46283.487442129634</v>
      </c>
      <c r="B122" s="3" t="s">
        <v>27</v>
      </c>
      <c r="C122" s="3" t="s">
        <v>30</v>
      </c>
      <c r="D122" s="3" t="s">
        <v>28</v>
      </c>
      <c r="E122" s="3" t="s">
        <v>19</v>
      </c>
      <c r="F122" s="3" t="s">
        <v>26</v>
      </c>
      <c r="G122" s="3">
        <v>448</v>
      </c>
      <c r="H122" s="3">
        <v>75</v>
      </c>
      <c r="I122" s="3">
        <v>20</v>
      </c>
      <c r="J122" s="3" t="s">
        <v>15</v>
      </c>
    </row>
    <row r="123" spans="1:10" x14ac:dyDescent="0.3">
      <c r="A123" s="2">
        <v>46283.633171296293</v>
      </c>
      <c r="B123" s="3" t="s">
        <v>34</v>
      </c>
      <c r="C123" s="3" t="s">
        <v>39</v>
      </c>
      <c r="D123" s="3" t="s">
        <v>18</v>
      </c>
      <c r="E123" s="3" t="s">
        <v>53</v>
      </c>
      <c r="F123" s="3" t="s">
        <v>20</v>
      </c>
      <c r="G123" s="3">
        <v>313</v>
      </c>
      <c r="H123" s="3">
        <v>54</v>
      </c>
      <c r="I123" s="3">
        <v>15</v>
      </c>
      <c r="J123" s="3" t="s">
        <v>29</v>
      </c>
    </row>
    <row r="124" spans="1:10" x14ac:dyDescent="0.3">
      <c r="A124" s="2">
        <v>46283.77888888889</v>
      </c>
      <c r="B124" s="3" t="s">
        <v>16</v>
      </c>
      <c r="C124" s="3" t="s">
        <v>39</v>
      </c>
      <c r="D124" s="3" t="s">
        <v>12</v>
      </c>
      <c r="E124" s="3" t="s">
        <v>32</v>
      </c>
      <c r="F124" s="3" t="s">
        <v>14</v>
      </c>
      <c r="G124" s="3">
        <v>429</v>
      </c>
      <c r="H124" s="3">
        <v>87</v>
      </c>
      <c r="I124" s="3">
        <v>14</v>
      </c>
      <c r="J124" s="3" t="s">
        <v>21</v>
      </c>
    </row>
    <row r="125" spans="1:10" x14ac:dyDescent="0.3">
      <c r="A125" s="2">
        <v>46283.924618055556</v>
      </c>
      <c r="B125" s="3" t="s">
        <v>44</v>
      </c>
      <c r="C125" s="3" t="s">
        <v>39</v>
      </c>
      <c r="D125" s="3" t="s">
        <v>31</v>
      </c>
      <c r="E125" s="3" t="s">
        <v>46</v>
      </c>
      <c r="F125" s="3" t="s">
        <v>26</v>
      </c>
      <c r="G125" s="3">
        <v>145</v>
      </c>
      <c r="H125" s="3">
        <v>71</v>
      </c>
      <c r="I125" s="3">
        <v>12</v>
      </c>
      <c r="J125" s="3" t="s">
        <v>15</v>
      </c>
    </row>
    <row r="126" spans="1:10" x14ac:dyDescent="0.3">
      <c r="A126" s="2">
        <v>46284.070347222223</v>
      </c>
      <c r="B126" s="3" t="s">
        <v>51</v>
      </c>
      <c r="C126" s="3" t="s">
        <v>30</v>
      </c>
      <c r="D126" s="3" t="s">
        <v>18</v>
      </c>
      <c r="E126" s="3" t="s">
        <v>32</v>
      </c>
      <c r="F126" s="3" t="s">
        <v>26</v>
      </c>
      <c r="G126" s="3">
        <v>125</v>
      </c>
      <c r="H126" s="3">
        <v>86</v>
      </c>
      <c r="I126" s="3">
        <v>10</v>
      </c>
      <c r="J126" s="3" t="s">
        <v>15</v>
      </c>
    </row>
    <row r="127" spans="1:10" x14ac:dyDescent="0.3">
      <c r="A127" s="2">
        <v>46284.21607638889</v>
      </c>
      <c r="B127" s="3" t="s">
        <v>22</v>
      </c>
      <c r="C127" s="3" t="s">
        <v>30</v>
      </c>
      <c r="D127" s="3" t="s">
        <v>24</v>
      </c>
      <c r="E127" s="3" t="s">
        <v>37</v>
      </c>
      <c r="F127" s="3" t="s">
        <v>33</v>
      </c>
      <c r="G127" s="3">
        <v>454</v>
      </c>
      <c r="H127" s="3">
        <v>54</v>
      </c>
      <c r="I127" s="3">
        <v>6</v>
      </c>
      <c r="J127" s="3" t="s">
        <v>15</v>
      </c>
    </row>
    <row r="128" spans="1:10" x14ac:dyDescent="0.3">
      <c r="A128" s="2">
        <v>46284.361805555563</v>
      </c>
      <c r="B128" s="3" t="s">
        <v>16</v>
      </c>
      <c r="C128" s="3" t="s">
        <v>23</v>
      </c>
      <c r="D128" s="3" t="s">
        <v>28</v>
      </c>
      <c r="E128" s="3" t="s">
        <v>35</v>
      </c>
      <c r="F128" s="3" t="s">
        <v>26</v>
      </c>
      <c r="G128" s="3">
        <v>207</v>
      </c>
      <c r="H128" s="3">
        <v>52</v>
      </c>
      <c r="I128" s="3">
        <v>13</v>
      </c>
      <c r="J128" s="3" t="s">
        <v>15</v>
      </c>
    </row>
    <row r="129" spans="1:10" x14ac:dyDescent="0.3">
      <c r="A129" s="2">
        <v>46284.507534722223</v>
      </c>
      <c r="B129" s="3" t="s">
        <v>10</v>
      </c>
      <c r="C129" s="3" t="s">
        <v>17</v>
      </c>
      <c r="D129" s="3" t="s">
        <v>24</v>
      </c>
      <c r="E129" s="3" t="s">
        <v>45</v>
      </c>
      <c r="F129" s="3" t="s">
        <v>33</v>
      </c>
      <c r="G129" s="3">
        <v>325</v>
      </c>
      <c r="H129" s="3">
        <v>94</v>
      </c>
      <c r="I129" s="3">
        <v>13</v>
      </c>
      <c r="J129" s="3" t="s">
        <v>29</v>
      </c>
    </row>
    <row r="130" spans="1:10" x14ac:dyDescent="0.3">
      <c r="A130" s="2">
        <v>46284.653263888889</v>
      </c>
      <c r="B130" s="3" t="s">
        <v>16</v>
      </c>
      <c r="C130" s="3" t="s">
        <v>23</v>
      </c>
      <c r="D130" s="3" t="s">
        <v>24</v>
      </c>
      <c r="E130" s="3" t="s">
        <v>40</v>
      </c>
      <c r="F130" s="3" t="s">
        <v>14</v>
      </c>
      <c r="G130" s="3">
        <v>218</v>
      </c>
      <c r="H130" s="3">
        <v>53</v>
      </c>
      <c r="I130" s="3">
        <v>19</v>
      </c>
      <c r="J130" s="3" t="s">
        <v>15</v>
      </c>
    </row>
    <row r="131" spans="1:10" x14ac:dyDescent="0.3">
      <c r="A131" s="2">
        <v>46284.798993055563</v>
      </c>
      <c r="B131" s="3" t="s">
        <v>34</v>
      </c>
      <c r="C131" s="3" t="s">
        <v>11</v>
      </c>
      <c r="D131" s="3" t="s">
        <v>31</v>
      </c>
      <c r="E131" s="3" t="s">
        <v>35</v>
      </c>
      <c r="F131" s="3" t="s">
        <v>20</v>
      </c>
      <c r="G131" s="3">
        <v>366</v>
      </c>
      <c r="H131" s="3">
        <v>87</v>
      </c>
      <c r="I131" s="3">
        <v>19</v>
      </c>
      <c r="J131" s="3" t="s">
        <v>29</v>
      </c>
    </row>
    <row r="132" spans="1:10" x14ac:dyDescent="0.3">
      <c r="A132" s="2">
        <v>46284.944722222222</v>
      </c>
      <c r="B132" s="3" t="s">
        <v>51</v>
      </c>
      <c r="C132" s="3" t="s">
        <v>39</v>
      </c>
      <c r="D132" s="3" t="s">
        <v>12</v>
      </c>
      <c r="E132" s="3" t="s">
        <v>37</v>
      </c>
      <c r="F132" s="3" t="s">
        <v>20</v>
      </c>
      <c r="G132" s="3">
        <v>255</v>
      </c>
      <c r="H132" s="3">
        <v>94</v>
      </c>
      <c r="I132" s="3">
        <v>13</v>
      </c>
      <c r="J132" s="3" t="s">
        <v>21</v>
      </c>
    </row>
    <row r="133" spans="1:10" x14ac:dyDescent="0.3">
      <c r="A133" s="2">
        <v>46285.090451388889</v>
      </c>
      <c r="B133" s="3" t="s">
        <v>10</v>
      </c>
      <c r="C133" s="3" t="s">
        <v>23</v>
      </c>
      <c r="D133" s="3" t="s">
        <v>18</v>
      </c>
      <c r="E133" s="3" t="s">
        <v>40</v>
      </c>
      <c r="F133" s="3" t="s">
        <v>33</v>
      </c>
      <c r="G133" s="3">
        <v>407</v>
      </c>
      <c r="H133" s="3">
        <v>97</v>
      </c>
      <c r="I133" s="3">
        <v>16</v>
      </c>
      <c r="J133" s="3" t="s">
        <v>21</v>
      </c>
    </row>
    <row r="134" spans="1:10" x14ac:dyDescent="0.3">
      <c r="A134" s="2">
        <v>46285.236180555563</v>
      </c>
      <c r="B134" s="3" t="s">
        <v>34</v>
      </c>
      <c r="C134" s="3" t="s">
        <v>30</v>
      </c>
      <c r="D134" s="3" t="s">
        <v>31</v>
      </c>
      <c r="E134" s="3" t="s">
        <v>53</v>
      </c>
      <c r="F134" s="3" t="s">
        <v>20</v>
      </c>
      <c r="G134" s="3">
        <v>275</v>
      </c>
      <c r="H134" s="3">
        <v>94</v>
      </c>
      <c r="I134" s="3">
        <v>5</v>
      </c>
      <c r="J134" s="3" t="s">
        <v>21</v>
      </c>
    </row>
    <row r="135" spans="1:10" x14ac:dyDescent="0.3">
      <c r="A135" s="2">
        <v>46285.381909722222</v>
      </c>
      <c r="B135" s="3" t="s">
        <v>51</v>
      </c>
      <c r="C135" s="3" t="s">
        <v>23</v>
      </c>
      <c r="D135" s="3" t="s">
        <v>12</v>
      </c>
      <c r="E135" s="3" t="s">
        <v>36</v>
      </c>
      <c r="F135" s="3" t="s">
        <v>26</v>
      </c>
      <c r="G135" s="3">
        <v>84</v>
      </c>
      <c r="H135" s="3">
        <v>68</v>
      </c>
      <c r="I135" s="3">
        <v>12</v>
      </c>
      <c r="J135" s="3" t="s">
        <v>15</v>
      </c>
    </row>
    <row r="136" spans="1:10" x14ac:dyDescent="0.3">
      <c r="A136" s="2">
        <v>46285.527638888889</v>
      </c>
      <c r="B136" s="3" t="s">
        <v>44</v>
      </c>
      <c r="C136" s="3" t="s">
        <v>11</v>
      </c>
      <c r="D136" s="3" t="s">
        <v>12</v>
      </c>
      <c r="E136" s="3" t="s">
        <v>42</v>
      </c>
      <c r="F136" s="3" t="s">
        <v>20</v>
      </c>
      <c r="G136" s="3">
        <v>211</v>
      </c>
      <c r="H136" s="3">
        <v>76</v>
      </c>
      <c r="I136" s="3">
        <v>9</v>
      </c>
      <c r="J136" s="3" t="s">
        <v>15</v>
      </c>
    </row>
    <row r="137" spans="1:10" x14ac:dyDescent="0.3">
      <c r="A137" s="2">
        <v>46285.673368055563</v>
      </c>
      <c r="B137" s="3" t="s">
        <v>16</v>
      </c>
      <c r="C137" s="3" t="s">
        <v>30</v>
      </c>
      <c r="D137" s="3" t="s">
        <v>28</v>
      </c>
      <c r="E137" s="3" t="s">
        <v>37</v>
      </c>
      <c r="F137" s="3" t="s">
        <v>26</v>
      </c>
      <c r="G137" s="3">
        <v>401</v>
      </c>
      <c r="H137" s="3">
        <v>76</v>
      </c>
      <c r="I137" s="3">
        <v>11</v>
      </c>
      <c r="J137" s="3" t="s">
        <v>15</v>
      </c>
    </row>
    <row r="138" spans="1:10" x14ac:dyDescent="0.3">
      <c r="A138" s="2">
        <v>46285.819097222222</v>
      </c>
      <c r="B138" s="3" t="s">
        <v>41</v>
      </c>
      <c r="C138" s="3" t="s">
        <v>17</v>
      </c>
      <c r="D138" s="3" t="s">
        <v>24</v>
      </c>
      <c r="E138" s="3" t="s">
        <v>36</v>
      </c>
      <c r="F138" s="3" t="s">
        <v>14</v>
      </c>
      <c r="G138" s="3">
        <v>100</v>
      </c>
      <c r="H138" s="3">
        <v>57</v>
      </c>
      <c r="I138" s="3">
        <v>20</v>
      </c>
      <c r="J138" s="3" t="s">
        <v>21</v>
      </c>
    </row>
    <row r="139" spans="1:10" x14ac:dyDescent="0.3">
      <c r="A139" s="2">
        <v>46285.964826388888</v>
      </c>
      <c r="B139" s="3" t="s">
        <v>16</v>
      </c>
      <c r="C139" s="3" t="s">
        <v>23</v>
      </c>
      <c r="D139" s="3" t="s">
        <v>28</v>
      </c>
      <c r="E139" s="3" t="s">
        <v>46</v>
      </c>
      <c r="F139" s="3" t="s">
        <v>26</v>
      </c>
      <c r="G139" s="3">
        <v>260</v>
      </c>
      <c r="H139" s="3">
        <v>75</v>
      </c>
      <c r="I139" s="3">
        <v>17</v>
      </c>
      <c r="J139" s="3" t="s">
        <v>15</v>
      </c>
    </row>
    <row r="140" spans="1:10" x14ac:dyDescent="0.3">
      <c r="A140" s="2">
        <v>46286.110555555562</v>
      </c>
      <c r="B140" s="3" t="s">
        <v>34</v>
      </c>
      <c r="C140" s="3" t="s">
        <v>30</v>
      </c>
      <c r="D140" s="3" t="s">
        <v>31</v>
      </c>
      <c r="E140" s="3" t="s">
        <v>35</v>
      </c>
      <c r="F140" s="3" t="s">
        <v>33</v>
      </c>
      <c r="G140" s="3">
        <v>399</v>
      </c>
      <c r="H140" s="3">
        <v>98</v>
      </c>
      <c r="I140" s="3">
        <v>20</v>
      </c>
      <c r="J140" s="3" t="s">
        <v>29</v>
      </c>
    </row>
    <row r="141" spans="1:10" x14ac:dyDescent="0.3">
      <c r="A141" s="2">
        <v>46286.256284722222</v>
      </c>
      <c r="B141" s="3" t="s">
        <v>41</v>
      </c>
      <c r="C141" s="3" t="s">
        <v>39</v>
      </c>
      <c r="D141" s="3" t="s">
        <v>12</v>
      </c>
      <c r="E141" s="3" t="s">
        <v>19</v>
      </c>
      <c r="F141" s="3" t="s">
        <v>33</v>
      </c>
      <c r="G141" s="3">
        <v>266</v>
      </c>
      <c r="H141" s="3">
        <v>65</v>
      </c>
      <c r="I141" s="3">
        <v>16</v>
      </c>
      <c r="J141" s="3" t="s">
        <v>15</v>
      </c>
    </row>
    <row r="142" spans="1:10" x14ac:dyDescent="0.3">
      <c r="A142" s="2">
        <v>46286.402013888888</v>
      </c>
      <c r="B142" s="3" t="s">
        <v>10</v>
      </c>
      <c r="C142" s="3" t="s">
        <v>17</v>
      </c>
      <c r="D142" s="3" t="s">
        <v>31</v>
      </c>
      <c r="E142" s="3" t="s">
        <v>32</v>
      </c>
      <c r="F142" s="3" t="s">
        <v>26</v>
      </c>
      <c r="G142" s="3">
        <v>118</v>
      </c>
      <c r="H142" s="3">
        <v>64</v>
      </c>
      <c r="I142" s="3">
        <v>7</v>
      </c>
      <c r="J142" s="3" t="s">
        <v>29</v>
      </c>
    </row>
    <row r="143" spans="1:10" x14ac:dyDescent="0.3">
      <c r="A143" s="2">
        <v>46286.547743055547</v>
      </c>
      <c r="B143" s="3" t="s">
        <v>10</v>
      </c>
      <c r="C143" s="3" t="s">
        <v>11</v>
      </c>
      <c r="D143" s="3" t="s">
        <v>18</v>
      </c>
      <c r="E143" s="3" t="s">
        <v>54</v>
      </c>
      <c r="F143" s="3" t="s">
        <v>14</v>
      </c>
      <c r="G143" s="3">
        <v>230</v>
      </c>
      <c r="H143" s="3">
        <v>64</v>
      </c>
      <c r="I143" s="3">
        <v>18</v>
      </c>
      <c r="J143" s="3" t="s">
        <v>21</v>
      </c>
    </row>
    <row r="144" spans="1:10" x14ac:dyDescent="0.3">
      <c r="A144" s="2">
        <v>46286.693472222221</v>
      </c>
      <c r="B144" s="3" t="s">
        <v>34</v>
      </c>
      <c r="C144" s="3" t="s">
        <v>30</v>
      </c>
      <c r="D144" s="3" t="s">
        <v>31</v>
      </c>
      <c r="E144" s="3" t="s">
        <v>46</v>
      </c>
      <c r="F144" s="3" t="s">
        <v>26</v>
      </c>
      <c r="G144" s="3">
        <v>304</v>
      </c>
      <c r="H144" s="3">
        <v>69</v>
      </c>
      <c r="I144" s="3">
        <v>12</v>
      </c>
      <c r="J144" s="3" t="s">
        <v>29</v>
      </c>
    </row>
    <row r="145" spans="1:10" x14ac:dyDescent="0.3">
      <c r="A145" s="2">
        <v>46286.839201388888</v>
      </c>
      <c r="B145" s="3" t="s">
        <v>22</v>
      </c>
      <c r="C145" s="3" t="s">
        <v>23</v>
      </c>
      <c r="D145" s="3" t="s">
        <v>28</v>
      </c>
      <c r="E145" s="3" t="s">
        <v>25</v>
      </c>
      <c r="F145" s="3" t="s">
        <v>26</v>
      </c>
      <c r="G145" s="3">
        <v>142</v>
      </c>
      <c r="H145" s="3">
        <v>86</v>
      </c>
      <c r="I145" s="3">
        <v>17</v>
      </c>
      <c r="J145" s="3" t="s">
        <v>15</v>
      </c>
    </row>
    <row r="146" spans="1:10" x14ac:dyDescent="0.3">
      <c r="A146" s="2">
        <v>46286.984918981478</v>
      </c>
      <c r="B146" s="3" t="s">
        <v>10</v>
      </c>
      <c r="C146" s="3" t="s">
        <v>23</v>
      </c>
      <c r="D146" s="3" t="s">
        <v>31</v>
      </c>
      <c r="E146" s="3" t="s">
        <v>47</v>
      </c>
      <c r="F146" s="3" t="s">
        <v>26</v>
      </c>
      <c r="G146" s="3">
        <v>172</v>
      </c>
      <c r="H146" s="3">
        <v>81</v>
      </c>
      <c r="I146" s="3">
        <v>12</v>
      </c>
      <c r="J146" s="3" t="s">
        <v>15</v>
      </c>
    </row>
    <row r="147" spans="1:10" x14ac:dyDescent="0.3">
      <c r="A147" s="2">
        <v>46287.130648148152</v>
      </c>
      <c r="B147" s="3" t="s">
        <v>16</v>
      </c>
      <c r="C147" s="3" t="s">
        <v>11</v>
      </c>
      <c r="D147" s="3" t="s">
        <v>24</v>
      </c>
      <c r="E147" s="3" t="s">
        <v>40</v>
      </c>
      <c r="F147" s="3" t="s">
        <v>26</v>
      </c>
      <c r="G147" s="3">
        <v>349</v>
      </c>
      <c r="H147" s="3">
        <v>56</v>
      </c>
      <c r="I147" s="3">
        <v>18</v>
      </c>
      <c r="J147" s="3" t="s">
        <v>15</v>
      </c>
    </row>
    <row r="148" spans="1:10" x14ac:dyDescent="0.3">
      <c r="A148" s="2">
        <v>46287.276377314818</v>
      </c>
      <c r="B148" s="3" t="s">
        <v>27</v>
      </c>
      <c r="C148" s="3" t="s">
        <v>11</v>
      </c>
      <c r="D148" s="3" t="s">
        <v>18</v>
      </c>
      <c r="E148" s="3" t="s">
        <v>38</v>
      </c>
      <c r="F148" s="3" t="s">
        <v>14</v>
      </c>
      <c r="G148" s="3">
        <v>53</v>
      </c>
      <c r="H148" s="3">
        <v>89</v>
      </c>
      <c r="I148" s="3">
        <v>10</v>
      </c>
      <c r="J148" s="3" t="s">
        <v>29</v>
      </c>
    </row>
    <row r="149" spans="1:10" x14ac:dyDescent="0.3">
      <c r="A149" s="2">
        <v>46287.422106481477</v>
      </c>
      <c r="B149" s="3" t="s">
        <v>41</v>
      </c>
      <c r="C149" s="3" t="s">
        <v>23</v>
      </c>
      <c r="D149" s="3" t="s">
        <v>24</v>
      </c>
      <c r="E149" s="3" t="s">
        <v>25</v>
      </c>
      <c r="F149" s="3" t="s">
        <v>14</v>
      </c>
      <c r="G149" s="3">
        <v>466</v>
      </c>
      <c r="H149" s="3">
        <v>91</v>
      </c>
      <c r="I149" s="3">
        <v>5</v>
      </c>
      <c r="J149" s="3" t="s">
        <v>21</v>
      </c>
    </row>
    <row r="150" spans="1:10" x14ac:dyDescent="0.3">
      <c r="A150" s="2">
        <v>46287.567835648151</v>
      </c>
      <c r="B150" s="3" t="s">
        <v>51</v>
      </c>
      <c r="C150" s="3" t="s">
        <v>11</v>
      </c>
      <c r="D150" s="3" t="s">
        <v>18</v>
      </c>
      <c r="E150" s="3" t="s">
        <v>47</v>
      </c>
      <c r="F150" s="3" t="s">
        <v>14</v>
      </c>
      <c r="G150" s="3">
        <v>361</v>
      </c>
      <c r="H150" s="3">
        <v>93</v>
      </c>
      <c r="I150" s="3">
        <v>11</v>
      </c>
      <c r="J150" s="3" t="s">
        <v>29</v>
      </c>
    </row>
    <row r="151" spans="1:10" x14ac:dyDescent="0.3">
      <c r="A151" s="2">
        <v>46287.713564814818</v>
      </c>
      <c r="B151" s="3" t="s">
        <v>41</v>
      </c>
      <c r="C151" s="3" t="s">
        <v>39</v>
      </c>
      <c r="D151" s="3" t="s">
        <v>24</v>
      </c>
      <c r="E151" s="3" t="s">
        <v>25</v>
      </c>
      <c r="F151" s="3" t="s">
        <v>14</v>
      </c>
      <c r="G151" s="3">
        <v>159</v>
      </c>
      <c r="H151" s="3">
        <v>88</v>
      </c>
      <c r="I151" s="3">
        <v>8</v>
      </c>
      <c r="J151" s="3" t="s">
        <v>29</v>
      </c>
    </row>
    <row r="152" spans="1:10" x14ac:dyDescent="0.3">
      <c r="A152" s="2">
        <v>46287.859293981477</v>
      </c>
      <c r="B152" s="3" t="s">
        <v>16</v>
      </c>
      <c r="C152" s="3" t="s">
        <v>11</v>
      </c>
      <c r="D152" s="3" t="s">
        <v>24</v>
      </c>
      <c r="E152" s="3" t="s">
        <v>50</v>
      </c>
      <c r="F152" s="3" t="s">
        <v>26</v>
      </c>
      <c r="G152" s="3">
        <v>473</v>
      </c>
      <c r="H152" s="3">
        <v>58</v>
      </c>
      <c r="I152" s="3">
        <v>9</v>
      </c>
      <c r="J152" s="3" t="s">
        <v>15</v>
      </c>
    </row>
    <row r="153" spans="1:10" x14ac:dyDescent="0.3">
      <c r="A153" s="2">
        <v>46288.005023148151</v>
      </c>
      <c r="B153" s="3" t="s">
        <v>41</v>
      </c>
      <c r="C153" s="3" t="s">
        <v>23</v>
      </c>
      <c r="D153" s="3" t="s">
        <v>12</v>
      </c>
      <c r="E153" s="3" t="s">
        <v>32</v>
      </c>
      <c r="F153" s="3" t="s">
        <v>20</v>
      </c>
      <c r="G153" s="3">
        <v>138</v>
      </c>
      <c r="H153" s="3">
        <v>95</v>
      </c>
      <c r="I153" s="3">
        <v>18</v>
      </c>
      <c r="J153" s="3" t="s">
        <v>15</v>
      </c>
    </row>
    <row r="154" spans="1:10" x14ac:dyDescent="0.3">
      <c r="A154" s="2">
        <v>46288.150752314818</v>
      </c>
      <c r="B154" s="3" t="s">
        <v>51</v>
      </c>
      <c r="C154" s="3" t="s">
        <v>11</v>
      </c>
      <c r="D154" s="3" t="s">
        <v>12</v>
      </c>
      <c r="E154" s="3" t="s">
        <v>32</v>
      </c>
      <c r="F154" s="3" t="s">
        <v>20</v>
      </c>
      <c r="G154" s="3">
        <v>441</v>
      </c>
      <c r="H154" s="3">
        <v>72</v>
      </c>
      <c r="I154" s="3">
        <v>19</v>
      </c>
      <c r="J154" s="3" t="s">
        <v>21</v>
      </c>
    </row>
    <row r="155" spans="1:10" x14ac:dyDescent="0.3">
      <c r="A155" s="2">
        <v>46288.296481481477</v>
      </c>
      <c r="B155" s="3" t="s">
        <v>16</v>
      </c>
      <c r="C155" s="3" t="s">
        <v>39</v>
      </c>
      <c r="D155" s="3" t="s">
        <v>12</v>
      </c>
      <c r="E155" s="3" t="s">
        <v>36</v>
      </c>
      <c r="F155" s="3" t="s">
        <v>26</v>
      </c>
      <c r="G155" s="3">
        <v>474</v>
      </c>
      <c r="H155" s="3">
        <v>61</v>
      </c>
      <c r="I155" s="3">
        <v>16</v>
      </c>
      <c r="J155" s="3" t="s">
        <v>15</v>
      </c>
    </row>
    <row r="156" spans="1:10" x14ac:dyDescent="0.3">
      <c r="A156" s="2">
        <v>46288.442210648151</v>
      </c>
      <c r="B156" s="3" t="s">
        <v>22</v>
      </c>
      <c r="C156" s="3" t="s">
        <v>39</v>
      </c>
      <c r="D156" s="3" t="s">
        <v>18</v>
      </c>
      <c r="E156" s="3" t="s">
        <v>36</v>
      </c>
      <c r="F156" s="3" t="s">
        <v>26</v>
      </c>
      <c r="G156" s="3">
        <v>280</v>
      </c>
      <c r="H156" s="3">
        <v>68</v>
      </c>
      <c r="I156" s="3">
        <v>20</v>
      </c>
      <c r="J156" s="3" t="s">
        <v>15</v>
      </c>
    </row>
    <row r="157" spans="1:10" x14ac:dyDescent="0.3">
      <c r="A157" s="2">
        <v>46288.587939814817</v>
      </c>
      <c r="B157" s="3" t="s">
        <v>10</v>
      </c>
      <c r="C157" s="3" t="s">
        <v>23</v>
      </c>
      <c r="D157" s="3" t="s">
        <v>31</v>
      </c>
      <c r="E157" s="3" t="s">
        <v>54</v>
      </c>
      <c r="F157" s="3" t="s">
        <v>20</v>
      </c>
      <c r="G157" s="3">
        <v>306</v>
      </c>
      <c r="H157" s="3">
        <v>99</v>
      </c>
      <c r="I157" s="3">
        <v>10</v>
      </c>
      <c r="J157" s="3" t="s">
        <v>29</v>
      </c>
    </row>
    <row r="158" spans="1:10" x14ac:dyDescent="0.3">
      <c r="A158" s="2">
        <v>46288.733668981477</v>
      </c>
      <c r="B158" s="3" t="s">
        <v>34</v>
      </c>
      <c r="C158" s="3" t="s">
        <v>39</v>
      </c>
      <c r="D158" s="3" t="s">
        <v>28</v>
      </c>
      <c r="E158" s="3" t="s">
        <v>49</v>
      </c>
      <c r="F158" s="3" t="s">
        <v>20</v>
      </c>
      <c r="G158" s="3">
        <v>165</v>
      </c>
      <c r="H158" s="3">
        <v>83</v>
      </c>
      <c r="I158" s="3">
        <v>16</v>
      </c>
      <c r="J158" s="3" t="s">
        <v>21</v>
      </c>
    </row>
    <row r="159" spans="1:10" x14ac:dyDescent="0.3">
      <c r="A159" s="2">
        <v>46288.87939814815</v>
      </c>
      <c r="B159" s="3" t="s">
        <v>27</v>
      </c>
      <c r="C159" s="3" t="s">
        <v>23</v>
      </c>
      <c r="D159" s="3" t="s">
        <v>31</v>
      </c>
      <c r="E159" s="3" t="s">
        <v>25</v>
      </c>
      <c r="F159" s="3" t="s">
        <v>33</v>
      </c>
      <c r="G159" s="3">
        <v>124</v>
      </c>
      <c r="H159" s="3">
        <v>58</v>
      </c>
      <c r="I159" s="3">
        <v>12</v>
      </c>
      <c r="J159" s="3" t="s">
        <v>21</v>
      </c>
    </row>
    <row r="160" spans="1:10" x14ac:dyDescent="0.3">
      <c r="A160" s="2">
        <v>46289.025127314817</v>
      </c>
      <c r="B160" s="3" t="s">
        <v>16</v>
      </c>
      <c r="C160" s="3" t="s">
        <v>39</v>
      </c>
      <c r="D160" s="3" t="s">
        <v>31</v>
      </c>
      <c r="E160" s="3" t="s">
        <v>40</v>
      </c>
      <c r="F160" s="3" t="s">
        <v>14</v>
      </c>
      <c r="G160" s="3">
        <v>243</v>
      </c>
      <c r="H160" s="3">
        <v>55</v>
      </c>
      <c r="I160" s="3">
        <v>17</v>
      </c>
      <c r="J160" s="3" t="s">
        <v>21</v>
      </c>
    </row>
    <row r="161" spans="1:10" x14ac:dyDescent="0.3">
      <c r="A161" s="2">
        <v>46289.170856481483</v>
      </c>
      <c r="B161" s="3" t="s">
        <v>10</v>
      </c>
      <c r="C161" s="3" t="s">
        <v>39</v>
      </c>
      <c r="D161" s="3" t="s">
        <v>28</v>
      </c>
      <c r="E161" s="3" t="s">
        <v>54</v>
      </c>
      <c r="F161" s="3" t="s">
        <v>14</v>
      </c>
      <c r="G161" s="3">
        <v>95</v>
      </c>
      <c r="H161" s="3">
        <v>53</v>
      </c>
      <c r="I161" s="3">
        <v>20</v>
      </c>
      <c r="J161" s="3" t="s">
        <v>15</v>
      </c>
    </row>
    <row r="162" spans="1:10" x14ac:dyDescent="0.3">
      <c r="A162" s="2">
        <v>46289.31658564815</v>
      </c>
      <c r="B162" s="3" t="s">
        <v>44</v>
      </c>
      <c r="C162" s="3" t="s">
        <v>17</v>
      </c>
      <c r="D162" s="3" t="s">
        <v>12</v>
      </c>
      <c r="E162" s="3" t="s">
        <v>43</v>
      </c>
      <c r="F162" s="3" t="s">
        <v>33</v>
      </c>
      <c r="G162" s="3">
        <v>358</v>
      </c>
      <c r="H162" s="3">
        <v>85</v>
      </c>
      <c r="I162" s="3">
        <v>11</v>
      </c>
      <c r="J162" s="3" t="s">
        <v>21</v>
      </c>
    </row>
    <row r="163" spans="1:10" x14ac:dyDescent="0.3">
      <c r="A163" s="2">
        <v>46289.462314814817</v>
      </c>
      <c r="B163" s="3" t="s">
        <v>16</v>
      </c>
      <c r="C163" s="3" t="s">
        <v>39</v>
      </c>
      <c r="D163" s="3" t="s">
        <v>12</v>
      </c>
      <c r="E163" s="3" t="s">
        <v>52</v>
      </c>
      <c r="F163" s="3" t="s">
        <v>20</v>
      </c>
      <c r="G163" s="3">
        <v>236</v>
      </c>
      <c r="H163" s="3">
        <v>67</v>
      </c>
      <c r="I163" s="3">
        <v>15</v>
      </c>
      <c r="J163" s="3" t="s">
        <v>21</v>
      </c>
    </row>
    <row r="164" spans="1:10" x14ac:dyDescent="0.3">
      <c r="A164" s="2">
        <v>46289.608043981483</v>
      </c>
      <c r="B164" s="3" t="s">
        <v>41</v>
      </c>
      <c r="C164" s="3" t="s">
        <v>17</v>
      </c>
      <c r="D164" s="3" t="s">
        <v>28</v>
      </c>
      <c r="E164" s="3" t="s">
        <v>32</v>
      </c>
      <c r="F164" s="3" t="s">
        <v>14</v>
      </c>
      <c r="G164" s="3">
        <v>187</v>
      </c>
      <c r="H164" s="3">
        <v>73</v>
      </c>
      <c r="I164" s="3">
        <v>7</v>
      </c>
      <c r="J164" s="3" t="s">
        <v>15</v>
      </c>
    </row>
    <row r="165" spans="1:10" x14ac:dyDescent="0.3">
      <c r="A165" s="2">
        <v>46289.75377314815</v>
      </c>
      <c r="B165" s="3" t="s">
        <v>10</v>
      </c>
      <c r="C165" s="3" t="s">
        <v>11</v>
      </c>
      <c r="D165" s="3" t="s">
        <v>12</v>
      </c>
      <c r="E165" s="3" t="s">
        <v>19</v>
      </c>
      <c r="F165" s="3" t="s">
        <v>26</v>
      </c>
      <c r="G165" s="3">
        <v>390</v>
      </c>
      <c r="H165" s="3">
        <v>79</v>
      </c>
      <c r="I165" s="3">
        <v>9</v>
      </c>
      <c r="J165" s="3" t="s">
        <v>29</v>
      </c>
    </row>
    <row r="166" spans="1:10" x14ac:dyDescent="0.3">
      <c r="A166" s="2">
        <v>46289.899502314824</v>
      </c>
      <c r="B166" s="3" t="s">
        <v>51</v>
      </c>
      <c r="C166" s="3" t="s">
        <v>17</v>
      </c>
      <c r="D166" s="3" t="s">
        <v>12</v>
      </c>
      <c r="E166" s="3" t="s">
        <v>37</v>
      </c>
      <c r="F166" s="3" t="s">
        <v>26</v>
      </c>
      <c r="G166" s="3">
        <v>454</v>
      </c>
      <c r="H166" s="3">
        <v>96</v>
      </c>
      <c r="I166" s="3">
        <v>5</v>
      </c>
      <c r="J166" s="3" t="s">
        <v>15</v>
      </c>
    </row>
    <row r="167" spans="1:10" x14ac:dyDescent="0.3">
      <c r="A167" s="2">
        <v>46290.045231481483</v>
      </c>
      <c r="B167" s="3" t="s">
        <v>51</v>
      </c>
      <c r="C167" s="3" t="s">
        <v>23</v>
      </c>
      <c r="D167" s="3" t="s">
        <v>31</v>
      </c>
      <c r="E167" s="3" t="s">
        <v>36</v>
      </c>
      <c r="F167" s="3" t="s">
        <v>14</v>
      </c>
      <c r="G167" s="3">
        <v>321</v>
      </c>
      <c r="H167" s="3">
        <v>93</v>
      </c>
      <c r="I167" s="3">
        <v>13</v>
      </c>
      <c r="J167" s="3" t="s">
        <v>29</v>
      </c>
    </row>
    <row r="168" spans="1:10" x14ac:dyDescent="0.3">
      <c r="A168" s="2">
        <v>46290.190949074073</v>
      </c>
      <c r="B168" s="3" t="s">
        <v>10</v>
      </c>
      <c r="C168" s="3" t="s">
        <v>11</v>
      </c>
      <c r="D168" s="3" t="s">
        <v>12</v>
      </c>
      <c r="E168" s="3" t="s">
        <v>32</v>
      </c>
      <c r="F168" s="3" t="s">
        <v>33</v>
      </c>
      <c r="G168" s="3">
        <v>91</v>
      </c>
      <c r="H168" s="3">
        <v>99</v>
      </c>
      <c r="I168" s="3">
        <v>8</v>
      </c>
      <c r="J168" s="3" t="s">
        <v>15</v>
      </c>
    </row>
    <row r="169" spans="1:10" x14ac:dyDescent="0.3">
      <c r="A169" s="2">
        <v>46290.336678240739</v>
      </c>
      <c r="B169" s="3" t="s">
        <v>41</v>
      </c>
      <c r="C169" s="3" t="s">
        <v>23</v>
      </c>
      <c r="D169" s="3" t="s">
        <v>24</v>
      </c>
      <c r="E169" s="3" t="s">
        <v>52</v>
      </c>
      <c r="F169" s="3" t="s">
        <v>14</v>
      </c>
      <c r="G169" s="3">
        <v>413</v>
      </c>
      <c r="H169" s="3">
        <v>69</v>
      </c>
      <c r="I169" s="3">
        <v>5</v>
      </c>
      <c r="J169" s="3" t="s">
        <v>29</v>
      </c>
    </row>
    <row r="170" spans="1:10" x14ac:dyDescent="0.3">
      <c r="A170" s="2">
        <v>46290.482407407413</v>
      </c>
      <c r="B170" s="3" t="s">
        <v>51</v>
      </c>
      <c r="C170" s="3" t="s">
        <v>23</v>
      </c>
      <c r="D170" s="3" t="s">
        <v>12</v>
      </c>
      <c r="E170" s="3" t="s">
        <v>37</v>
      </c>
      <c r="F170" s="3" t="s">
        <v>14</v>
      </c>
      <c r="G170" s="3">
        <v>356</v>
      </c>
      <c r="H170" s="3">
        <v>86</v>
      </c>
      <c r="I170" s="3">
        <v>16</v>
      </c>
      <c r="J170" s="3" t="s">
        <v>29</v>
      </c>
    </row>
    <row r="171" spans="1:10" x14ac:dyDescent="0.3">
      <c r="A171" s="2">
        <v>46290.628136574072</v>
      </c>
      <c r="B171" s="3" t="s">
        <v>16</v>
      </c>
      <c r="C171" s="3" t="s">
        <v>23</v>
      </c>
      <c r="D171" s="3" t="s">
        <v>31</v>
      </c>
      <c r="E171" s="3" t="s">
        <v>54</v>
      </c>
      <c r="F171" s="3" t="s">
        <v>14</v>
      </c>
      <c r="G171" s="3">
        <v>73</v>
      </c>
      <c r="H171" s="3">
        <v>66</v>
      </c>
      <c r="I171" s="3">
        <v>11</v>
      </c>
      <c r="J171" s="3" t="s">
        <v>21</v>
      </c>
    </row>
    <row r="172" spans="1:10" x14ac:dyDescent="0.3">
      <c r="A172" s="2">
        <v>46290.773865740739</v>
      </c>
      <c r="B172" s="3" t="s">
        <v>44</v>
      </c>
      <c r="C172" s="3" t="s">
        <v>17</v>
      </c>
      <c r="D172" s="3" t="s">
        <v>18</v>
      </c>
      <c r="E172" s="3" t="s">
        <v>43</v>
      </c>
      <c r="F172" s="3" t="s">
        <v>26</v>
      </c>
      <c r="G172" s="3">
        <v>399</v>
      </c>
      <c r="H172" s="3">
        <v>62</v>
      </c>
      <c r="I172" s="3">
        <v>12</v>
      </c>
      <c r="J172" s="3" t="s">
        <v>29</v>
      </c>
    </row>
    <row r="173" spans="1:10" x14ac:dyDescent="0.3">
      <c r="A173" s="2">
        <v>46290.919594907413</v>
      </c>
      <c r="B173" s="3" t="s">
        <v>51</v>
      </c>
      <c r="C173" s="3" t="s">
        <v>39</v>
      </c>
      <c r="D173" s="3" t="s">
        <v>24</v>
      </c>
      <c r="E173" s="3" t="s">
        <v>25</v>
      </c>
      <c r="F173" s="3" t="s">
        <v>26</v>
      </c>
      <c r="G173" s="3">
        <v>211</v>
      </c>
      <c r="H173" s="3">
        <v>51</v>
      </c>
      <c r="I173" s="3">
        <v>20</v>
      </c>
      <c r="J173" s="3" t="s">
        <v>15</v>
      </c>
    </row>
    <row r="174" spans="1:10" x14ac:dyDescent="0.3">
      <c r="A174" s="2">
        <v>46291.065324074072</v>
      </c>
      <c r="B174" s="3" t="s">
        <v>22</v>
      </c>
      <c r="C174" s="3" t="s">
        <v>30</v>
      </c>
      <c r="D174" s="3" t="s">
        <v>18</v>
      </c>
      <c r="E174" s="3" t="s">
        <v>19</v>
      </c>
      <c r="F174" s="3" t="s">
        <v>20</v>
      </c>
      <c r="G174" s="3">
        <v>242</v>
      </c>
      <c r="H174" s="3">
        <v>90</v>
      </c>
      <c r="I174" s="3">
        <v>20</v>
      </c>
      <c r="J174" s="3" t="s">
        <v>29</v>
      </c>
    </row>
    <row r="175" spans="1:10" x14ac:dyDescent="0.3">
      <c r="A175" s="2">
        <v>46291.211053240739</v>
      </c>
      <c r="B175" s="3" t="s">
        <v>34</v>
      </c>
      <c r="C175" s="3" t="s">
        <v>17</v>
      </c>
      <c r="D175" s="3" t="s">
        <v>31</v>
      </c>
      <c r="E175" s="3" t="s">
        <v>40</v>
      </c>
      <c r="F175" s="3" t="s">
        <v>20</v>
      </c>
      <c r="G175" s="3">
        <v>417</v>
      </c>
      <c r="H175" s="3">
        <v>82</v>
      </c>
      <c r="I175" s="3">
        <v>13</v>
      </c>
      <c r="J175" s="3" t="s">
        <v>29</v>
      </c>
    </row>
    <row r="176" spans="1:10" x14ac:dyDescent="0.3">
      <c r="A176" s="2">
        <v>46291.356782407413</v>
      </c>
      <c r="B176" s="3" t="s">
        <v>51</v>
      </c>
      <c r="C176" s="3" t="s">
        <v>11</v>
      </c>
      <c r="D176" s="3" t="s">
        <v>31</v>
      </c>
      <c r="E176" s="3" t="s">
        <v>35</v>
      </c>
      <c r="F176" s="3" t="s">
        <v>14</v>
      </c>
      <c r="G176" s="3">
        <v>266</v>
      </c>
      <c r="H176" s="3">
        <v>57</v>
      </c>
      <c r="I176" s="3">
        <v>7</v>
      </c>
      <c r="J176" s="3" t="s">
        <v>15</v>
      </c>
    </row>
    <row r="177" spans="1:10" x14ac:dyDescent="0.3">
      <c r="A177" s="2">
        <v>46291.502511574072</v>
      </c>
      <c r="B177" s="3" t="s">
        <v>34</v>
      </c>
      <c r="C177" s="3" t="s">
        <v>23</v>
      </c>
      <c r="D177" s="3" t="s">
        <v>18</v>
      </c>
      <c r="E177" s="3" t="s">
        <v>42</v>
      </c>
      <c r="F177" s="3" t="s">
        <v>26</v>
      </c>
      <c r="G177" s="3">
        <v>331</v>
      </c>
      <c r="H177" s="3">
        <v>95</v>
      </c>
      <c r="I177" s="3">
        <v>17</v>
      </c>
      <c r="J177" s="3" t="s">
        <v>15</v>
      </c>
    </row>
    <row r="178" spans="1:10" x14ac:dyDescent="0.3">
      <c r="A178" s="2">
        <v>46291.648240740738</v>
      </c>
      <c r="B178" s="3" t="s">
        <v>41</v>
      </c>
      <c r="C178" s="3" t="s">
        <v>17</v>
      </c>
      <c r="D178" s="3" t="s">
        <v>31</v>
      </c>
      <c r="E178" s="3" t="s">
        <v>49</v>
      </c>
      <c r="F178" s="3" t="s">
        <v>33</v>
      </c>
      <c r="G178" s="3">
        <v>62</v>
      </c>
      <c r="H178" s="3">
        <v>91</v>
      </c>
      <c r="I178" s="3">
        <v>20</v>
      </c>
      <c r="J178" s="3" t="s">
        <v>21</v>
      </c>
    </row>
    <row r="179" spans="1:10" x14ac:dyDescent="0.3">
      <c r="A179" s="2">
        <v>46291.793969907398</v>
      </c>
      <c r="B179" s="3" t="s">
        <v>16</v>
      </c>
      <c r="C179" s="3" t="s">
        <v>30</v>
      </c>
      <c r="D179" s="3" t="s">
        <v>31</v>
      </c>
      <c r="E179" s="3" t="s">
        <v>19</v>
      </c>
      <c r="F179" s="3" t="s">
        <v>14</v>
      </c>
      <c r="G179" s="3">
        <v>87</v>
      </c>
      <c r="H179" s="3">
        <v>64</v>
      </c>
      <c r="I179" s="3">
        <v>18</v>
      </c>
      <c r="J179" s="3" t="s">
        <v>15</v>
      </c>
    </row>
    <row r="180" spans="1:10" x14ac:dyDescent="0.3">
      <c r="A180" s="2">
        <v>46291.939699074072</v>
      </c>
      <c r="B180" s="3" t="s">
        <v>51</v>
      </c>
      <c r="C180" s="3" t="s">
        <v>11</v>
      </c>
      <c r="D180" s="3" t="s">
        <v>24</v>
      </c>
      <c r="E180" s="3" t="s">
        <v>47</v>
      </c>
      <c r="F180" s="3" t="s">
        <v>20</v>
      </c>
      <c r="G180" s="3">
        <v>153</v>
      </c>
      <c r="H180" s="3">
        <v>54</v>
      </c>
      <c r="I180" s="3">
        <v>17</v>
      </c>
      <c r="J180" s="3" t="s">
        <v>15</v>
      </c>
    </row>
    <row r="181" spans="1:10" x14ac:dyDescent="0.3">
      <c r="A181" s="2">
        <v>46292.085428240738</v>
      </c>
      <c r="B181" s="3" t="s">
        <v>51</v>
      </c>
      <c r="C181" s="3" t="s">
        <v>17</v>
      </c>
      <c r="D181" s="3" t="s">
        <v>18</v>
      </c>
      <c r="E181" s="3" t="s">
        <v>50</v>
      </c>
      <c r="F181" s="3" t="s">
        <v>26</v>
      </c>
      <c r="G181" s="3">
        <v>472</v>
      </c>
      <c r="H181" s="3">
        <v>72</v>
      </c>
      <c r="I181" s="3">
        <v>14</v>
      </c>
      <c r="J181" s="3" t="s">
        <v>29</v>
      </c>
    </row>
    <row r="182" spans="1:10" x14ac:dyDescent="0.3">
      <c r="A182" s="2">
        <v>46292.231157407397</v>
      </c>
      <c r="B182" s="3" t="s">
        <v>10</v>
      </c>
      <c r="C182" s="3" t="s">
        <v>39</v>
      </c>
      <c r="D182" s="3" t="s">
        <v>24</v>
      </c>
      <c r="E182" s="3" t="s">
        <v>47</v>
      </c>
      <c r="F182" s="3" t="s">
        <v>20</v>
      </c>
      <c r="G182" s="3">
        <v>243</v>
      </c>
      <c r="H182" s="3">
        <v>93</v>
      </c>
      <c r="I182" s="3">
        <v>6</v>
      </c>
      <c r="J182" s="3" t="s">
        <v>21</v>
      </c>
    </row>
    <row r="183" spans="1:10" x14ac:dyDescent="0.3">
      <c r="A183" s="2">
        <v>46292.376886574071</v>
      </c>
      <c r="B183" s="3" t="s">
        <v>16</v>
      </c>
      <c r="C183" s="3" t="s">
        <v>39</v>
      </c>
      <c r="D183" s="3" t="s">
        <v>12</v>
      </c>
      <c r="E183" s="3" t="s">
        <v>32</v>
      </c>
      <c r="F183" s="3" t="s">
        <v>20</v>
      </c>
      <c r="G183" s="3">
        <v>86</v>
      </c>
      <c r="H183" s="3">
        <v>68</v>
      </c>
      <c r="I183" s="3">
        <v>8</v>
      </c>
      <c r="J183" s="3" t="s">
        <v>15</v>
      </c>
    </row>
    <row r="184" spans="1:10" x14ac:dyDescent="0.3">
      <c r="A184" s="2">
        <v>46292.522615740738</v>
      </c>
      <c r="B184" s="3" t="s">
        <v>41</v>
      </c>
      <c r="C184" s="3" t="s">
        <v>30</v>
      </c>
      <c r="D184" s="3" t="s">
        <v>18</v>
      </c>
      <c r="E184" s="3" t="s">
        <v>48</v>
      </c>
      <c r="F184" s="3" t="s">
        <v>20</v>
      </c>
      <c r="G184" s="3">
        <v>430</v>
      </c>
      <c r="H184" s="3">
        <v>64</v>
      </c>
      <c r="I184" s="3">
        <v>5</v>
      </c>
      <c r="J184" s="3" t="s">
        <v>29</v>
      </c>
    </row>
    <row r="185" spans="1:10" x14ac:dyDescent="0.3">
      <c r="A185" s="2">
        <v>46292.668344907397</v>
      </c>
      <c r="B185" s="3" t="s">
        <v>27</v>
      </c>
      <c r="C185" s="3" t="s">
        <v>30</v>
      </c>
      <c r="D185" s="3" t="s">
        <v>24</v>
      </c>
      <c r="E185" s="3" t="s">
        <v>40</v>
      </c>
      <c r="F185" s="3" t="s">
        <v>26</v>
      </c>
      <c r="G185" s="3">
        <v>335</v>
      </c>
      <c r="H185" s="3">
        <v>85</v>
      </c>
      <c r="I185" s="3">
        <v>15</v>
      </c>
      <c r="J185" s="3" t="s">
        <v>29</v>
      </c>
    </row>
    <row r="186" spans="1:10" x14ac:dyDescent="0.3">
      <c r="A186" s="2">
        <v>46292.814074074071</v>
      </c>
      <c r="B186" s="3" t="s">
        <v>34</v>
      </c>
      <c r="C186" s="3" t="s">
        <v>39</v>
      </c>
      <c r="D186" s="3" t="s">
        <v>24</v>
      </c>
      <c r="E186" s="3" t="s">
        <v>43</v>
      </c>
      <c r="F186" s="3" t="s">
        <v>26</v>
      </c>
      <c r="G186" s="3">
        <v>56</v>
      </c>
      <c r="H186" s="3">
        <v>96</v>
      </c>
      <c r="I186" s="3">
        <v>8</v>
      </c>
      <c r="J186" s="3" t="s">
        <v>29</v>
      </c>
    </row>
    <row r="187" spans="1:10" x14ac:dyDescent="0.3">
      <c r="A187" s="2">
        <v>46292.959803240738</v>
      </c>
      <c r="B187" s="3" t="s">
        <v>16</v>
      </c>
      <c r="C187" s="3" t="s">
        <v>39</v>
      </c>
      <c r="D187" s="3" t="s">
        <v>28</v>
      </c>
      <c r="E187" s="3" t="s">
        <v>35</v>
      </c>
      <c r="F187" s="3" t="s">
        <v>20</v>
      </c>
      <c r="G187" s="3">
        <v>181</v>
      </c>
      <c r="H187" s="3">
        <v>70</v>
      </c>
      <c r="I187" s="3">
        <v>5</v>
      </c>
      <c r="J187" s="3" t="s">
        <v>21</v>
      </c>
    </row>
    <row r="188" spans="1:10" x14ac:dyDescent="0.3">
      <c r="A188" s="2">
        <v>46293.105532407397</v>
      </c>
      <c r="B188" s="3" t="s">
        <v>22</v>
      </c>
      <c r="C188" s="3" t="s">
        <v>30</v>
      </c>
      <c r="D188" s="3" t="s">
        <v>12</v>
      </c>
      <c r="E188" s="3" t="s">
        <v>54</v>
      </c>
      <c r="F188" s="3" t="s">
        <v>33</v>
      </c>
      <c r="G188" s="3">
        <v>59</v>
      </c>
      <c r="H188" s="3">
        <v>51</v>
      </c>
      <c r="I188" s="3">
        <v>12</v>
      </c>
      <c r="J188" s="3" t="s">
        <v>15</v>
      </c>
    </row>
    <row r="189" spans="1:10" x14ac:dyDescent="0.3">
      <c r="A189" s="2">
        <v>46293.251261574071</v>
      </c>
      <c r="B189" s="3" t="s">
        <v>51</v>
      </c>
      <c r="C189" s="3" t="s">
        <v>30</v>
      </c>
      <c r="D189" s="3" t="s">
        <v>18</v>
      </c>
      <c r="E189" s="3" t="s">
        <v>37</v>
      </c>
      <c r="F189" s="3" t="s">
        <v>20</v>
      </c>
      <c r="G189" s="3">
        <v>482</v>
      </c>
      <c r="H189" s="3">
        <v>65</v>
      </c>
      <c r="I189" s="3">
        <v>16</v>
      </c>
      <c r="J189" s="3" t="s">
        <v>29</v>
      </c>
    </row>
    <row r="190" spans="1:10" x14ac:dyDescent="0.3">
      <c r="A190" s="2">
        <v>46293.396979166668</v>
      </c>
      <c r="B190" s="3" t="s">
        <v>10</v>
      </c>
      <c r="C190" s="3" t="s">
        <v>23</v>
      </c>
      <c r="D190" s="3" t="s">
        <v>31</v>
      </c>
      <c r="E190" s="3" t="s">
        <v>37</v>
      </c>
      <c r="F190" s="3" t="s">
        <v>26</v>
      </c>
      <c r="G190" s="3">
        <v>429</v>
      </c>
      <c r="H190" s="3">
        <v>64</v>
      </c>
      <c r="I190" s="3">
        <v>16</v>
      </c>
      <c r="J190" s="3" t="s">
        <v>21</v>
      </c>
    </row>
    <row r="191" spans="1:10" x14ac:dyDescent="0.3">
      <c r="A191" s="2">
        <v>46293.542708333327</v>
      </c>
      <c r="B191" s="3" t="s">
        <v>51</v>
      </c>
      <c r="C191" s="3" t="s">
        <v>23</v>
      </c>
      <c r="D191" s="3" t="s">
        <v>28</v>
      </c>
      <c r="E191" s="3" t="s">
        <v>47</v>
      </c>
      <c r="F191" s="3" t="s">
        <v>26</v>
      </c>
      <c r="G191" s="3">
        <v>346</v>
      </c>
      <c r="H191" s="3">
        <v>62</v>
      </c>
      <c r="I191" s="3">
        <v>18</v>
      </c>
      <c r="J191" s="3" t="s">
        <v>15</v>
      </c>
    </row>
    <row r="192" spans="1:10" x14ac:dyDescent="0.3">
      <c r="A192" s="2">
        <v>46293.688437500001</v>
      </c>
      <c r="B192" s="3" t="s">
        <v>27</v>
      </c>
      <c r="C192" s="3" t="s">
        <v>23</v>
      </c>
      <c r="D192" s="3" t="s">
        <v>12</v>
      </c>
      <c r="E192" s="3" t="s">
        <v>43</v>
      </c>
      <c r="F192" s="3" t="s">
        <v>26</v>
      </c>
      <c r="G192" s="3">
        <v>64</v>
      </c>
      <c r="H192" s="3">
        <v>53</v>
      </c>
      <c r="I192" s="3">
        <v>9</v>
      </c>
      <c r="J192" s="3" t="s">
        <v>29</v>
      </c>
    </row>
    <row r="193" spans="1:10" x14ac:dyDescent="0.3">
      <c r="A193" s="2">
        <v>46293.834166666667</v>
      </c>
      <c r="B193" s="3" t="s">
        <v>44</v>
      </c>
      <c r="C193" s="3" t="s">
        <v>11</v>
      </c>
      <c r="D193" s="3" t="s">
        <v>28</v>
      </c>
      <c r="E193" s="3" t="s">
        <v>42</v>
      </c>
      <c r="F193" s="3" t="s">
        <v>20</v>
      </c>
      <c r="G193" s="3">
        <v>83</v>
      </c>
      <c r="H193" s="3">
        <v>66</v>
      </c>
      <c r="I193" s="3">
        <v>15</v>
      </c>
      <c r="J193" s="3" t="s">
        <v>15</v>
      </c>
    </row>
    <row r="194" spans="1:10" x14ac:dyDescent="0.3">
      <c r="A194" s="2">
        <v>46293.979895833327</v>
      </c>
      <c r="B194" s="3" t="s">
        <v>27</v>
      </c>
      <c r="C194" s="3" t="s">
        <v>39</v>
      </c>
      <c r="D194" s="3" t="s">
        <v>18</v>
      </c>
      <c r="E194" s="3" t="s">
        <v>48</v>
      </c>
      <c r="F194" s="3" t="s">
        <v>20</v>
      </c>
      <c r="G194" s="3">
        <v>302</v>
      </c>
      <c r="H194" s="3">
        <v>89</v>
      </c>
      <c r="I194" s="3">
        <v>8</v>
      </c>
      <c r="J194" s="3" t="s">
        <v>21</v>
      </c>
    </row>
    <row r="195" spans="1:10" x14ac:dyDescent="0.3">
      <c r="A195" s="2">
        <v>46294.125625000001</v>
      </c>
      <c r="B195" s="3" t="s">
        <v>51</v>
      </c>
      <c r="C195" s="3" t="s">
        <v>39</v>
      </c>
      <c r="D195" s="3" t="s">
        <v>31</v>
      </c>
      <c r="E195" s="3" t="s">
        <v>40</v>
      </c>
      <c r="F195" s="3" t="s">
        <v>33</v>
      </c>
      <c r="G195" s="3">
        <v>461</v>
      </c>
      <c r="H195" s="3">
        <v>53</v>
      </c>
      <c r="I195" s="3">
        <v>11</v>
      </c>
      <c r="J195" s="3" t="s">
        <v>29</v>
      </c>
    </row>
    <row r="196" spans="1:10" x14ac:dyDescent="0.3">
      <c r="A196" s="2">
        <v>46294.271354166667</v>
      </c>
      <c r="B196" s="3" t="s">
        <v>27</v>
      </c>
      <c r="C196" s="3" t="s">
        <v>23</v>
      </c>
      <c r="D196" s="3" t="s">
        <v>18</v>
      </c>
      <c r="E196" s="3" t="s">
        <v>42</v>
      </c>
      <c r="F196" s="3" t="s">
        <v>26</v>
      </c>
      <c r="G196" s="3">
        <v>192</v>
      </c>
      <c r="H196" s="3">
        <v>77</v>
      </c>
      <c r="I196" s="3">
        <v>9</v>
      </c>
      <c r="J196" s="3" t="s">
        <v>21</v>
      </c>
    </row>
    <row r="197" spans="1:10" x14ac:dyDescent="0.3">
      <c r="A197" s="2">
        <v>46294.417083333326</v>
      </c>
      <c r="B197" s="3" t="s">
        <v>51</v>
      </c>
      <c r="C197" s="3" t="s">
        <v>11</v>
      </c>
      <c r="D197" s="3" t="s">
        <v>18</v>
      </c>
      <c r="E197" s="3" t="s">
        <v>43</v>
      </c>
      <c r="F197" s="3" t="s">
        <v>26</v>
      </c>
      <c r="G197" s="3">
        <v>126</v>
      </c>
      <c r="H197" s="3">
        <v>60</v>
      </c>
      <c r="I197" s="3">
        <v>17</v>
      </c>
      <c r="J197" s="3" t="s">
        <v>15</v>
      </c>
    </row>
    <row r="198" spans="1:10" x14ac:dyDescent="0.3">
      <c r="A198" s="2">
        <v>46294.5628125</v>
      </c>
      <c r="B198" s="3" t="s">
        <v>27</v>
      </c>
      <c r="C198" s="3" t="s">
        <v>11</v>
      </c>
      <c r="D198" s="3" t="s">
        <v>18</v>
      </c>
      <c r="E198" s="3" t="s">
        <v>47</v>
      </c>
      <c r="F198" s="3" t="s">
        <v>14</v>
      </c>
      <c r="G198" s="3">
        <v>301</v>
      </c>
      <c r="H198" s="3">
        <v>57</v>
      </c>
      <c r="I198" s="3">
        <v>8</v>
      </c>
      <c r="J198" s="3" t="s">
        <v>15</v>
      </c>
    </row>
    <row r="199" spans="1:10" x14ac:dyDescent="0.3">
      <c r="A199" s="2">
        <v>46294.708541666667</v>
      </c>
      <c r="B199" s="3" t="s">
        <v>51</v>
      </c>
      <c r="C199" s="3" t="s">
        <v>23</v>
      </c>
      <c r="D199" s="3" t="s">
        <v>28</v>
      </c>
      <c r="E199" s="3" t="s">
        <v>49</v>
      </c>
      <c r="F199" s="3" t="s">
        <v>14</v>
      </c>
      <c r="G199" s="3">
        <v>244</v>
      </c>
      <c r="H199" s="3">
        <v>86</v>
      </c>
      <c r="I199" s="3">
        <v>5</v>
      </c>
      <c r="J199" s="3" t="s">
        <v>15</v>
      </c>
    </row>
    <row r="200" spans="1:10" x14ac:dyDescent="0.3">
      <c r="A200" s="2">
        <v>46294.854270833333</v>
      </c>
      <c r="B200" s="3" t="s">
        <v>34</v>
      </c>
      <c r="C200" s="3" t="s">
        <v>39</v>
      </c>
      <c r="D200" s="3" t="s">
        <v>31</v>
      </c>
      <c r="E200" s="3" t="s">
        <v>43</v>
      </c>
      <c r="F200" s="3" t="s">
        <v>26</v>
      </c>
      <c r="G200" s="3">
        <v>463</v>
      </c>
      <c r="H200" s="3">
        <v>81</v>
      </c>
      <c r="I200" s="3">
        <v>11</v>
      </c>
      <c r="J200" s="3" t="s">
        <v>15</v>
      </c>
    </row>
    <row r="201" spans="1:10" x14ac:dyDescent="0.3">
      <c r="A201" s="2">
        <v>46295</v>
      </c>
      <c r="B201" s="3" t="s">
        <v>41</v>
      </c>
      <c r="C201" s="3" t="s">
        <v>23</v>
      </c>
      <c r="D201" s="3" t="s">
        <v>28</v>
      </c>
      <c r="E201" s="3" t="s">
        <v>40</v>
      </c>
      <c r="F201" s="3" t="s">
        <v>20</v>
      </c>
      <c r="G201" s="3">
        <v>352</v>
      </c>
      <c r="H201" s="3">
        <v>88</v>
      </c>
      <c r="I201" s="3">
        <v>7</v>
      </c>
      <c r="J201" s="3" t="s">
        <v>15</v>
      </c>
    </row>
    <row r="203" spans="1:10" x14ac:dyDescent="0.3">
      <c r="C203" t="str" cm="1">
        <f t="array" ref="C203">INDEX(Table1[Route_ID],MODE(MATCH(C2:C201,C2:C201,0)))</f>
        <v>ROUTE-4</v>
      </c>
      <c r="F203" t="str" cm="1">
        <f t="array" ref="F203">INDEX(Table1[Waste_Type],MODE(MATCH(F2:F201,F2:F201,0)))</f>
        <v>Organic</v>
      </c>
    </row>
    <row r="204" spans="1:10" x14ac:dyDescent="0.3">
      <c r="C204">
        <f>COUNTIF(C2:C201,"ROUTE-4")</f>
        <v>44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BB061-FEB5-462F-9912-AC5798793858}">
  <dimension ref="A1:M34"/>
  <sheetViews>
    <sheetView workbookViewId="0">
      <selection activeCell="B2" sqref="B2"/>
    </sheetView>
  </sheetViews>
  <sheetFormatPr defaultRowHeight="14.4" x14ac:dyDescent="0.3"/>
  <cols>
    <col min="1" max="1" width="12.5546875" bestFit="1" customWidth="1"/>
    <col min="2" max="2" width="19.33203125" bestFit="1" customWidth="1"/>
    <col min="3" max="3" width="12.5546875" bestFit="1" customWidth="1"/>
    <col min="4" max="4" width="23.88671875" bestFit="1" customWidth="1"/>
    <col min="5" max="5" width="12.5546875" bestFit="1" customWidth="1"/>
    <col min="6" max="6" width="23.88671875" bestFit="1" customWidth="1"/>
    <col min="8" max="8" width="12.5546875" bestFit="1" customWidth="1"/>
    <col min="9" max="9" width="26.44140625" bestFit="1" customWidth="1"/>
    <col min="10" max="10" width="25.5546875" bestFit="1" customWidth="1"/>
    <col min="11" max="11" width="23.88671875" bestFit="1" customWidth="1"/>
    <col min="12" max="12" width="12.5546875" bestFit="1" customWidth="1"/>
    <col min="13" max="13" width="16.33203125" bestFit="1" customWidth="1"/>
  </cols>
  <sheetData>
    <row r="1" spans="1:13" x14ac:dyDescent="0.3">
      <c r="A1" s="4" t="s">
        <v>55</v>
      </c>
      <c r="B1" t="s">
        <v>57</v>
      </c>
      <c r="C1" s="4" t="s">
        <v>55</v>
      </c>
      <c r="D1" t="s">
        <v>59</v>
      </c>
      <c r="E1" s="4" t="s">
        <v>55</v>
      </c>
      <c r="F1" t="s">
        <v>59</v>
      </c>
      <c r="J1" s="4" t="s">
        <v>55</v>
      </c>
      <c r="K1" t="s">
        <v>59</v>
      </c>
      <c r="L1" s="4" t="s">
        <v>55</v>
      </c>
      <c r="M1" t="s">
        <v>61</v>
      </c>
    </row>
    <row r="2" spans="1:13" x14ac:dyDescent="0.3">
      <c r="A2" s="5" t="s">
        <v>14</v>
      </c>
      <c r="B2">
        <v>55</v>
      </c>
      <c r="C2" s="5" t="s">
        <v>36</v>
      </c>
      <c r="D2">
        <v>3119</v>
      </c>
      <c r="E2" s="5" t="s">
        <v>29</v>
      </c>
      <c r="F2">
        <v>14974</v>
      </c>
      <c r="J2" s="5" t="s">
        <v>51</v>
      </c>
      <c r="K2">
        <v>8692</v>
      </c>
      <c r="L2" s="5" t="s">
        <v>11</v>
      </c>
      <c r="M2">
        <v>43</v>
      </c>
    </row>
    <row r="3" spans="1:13" x14ac:dyDescent="0.3">
      <c r="A3" s="5" t="s">
        <v>33</v>
      </c>
      <c r="B3">
        <v>38</v>
      </c>
      <c r="C3" s="5" t="s">
        <v>48</v>
      </c>
      <c r="D3">
        <v>3234</v>
      </c>
      <c r="E3" s="5" t="s">
        <v>15</v>
      </c>
      <c r="F3">
        <v>20606</v>
      </c>
      <c r="J3" s="6" t="s">
        <v>29</v>
      </c>
      <c r="K3">
        <v>2841</v>
      </c>
      <c r="L3" s="5" t="s">
        <v>30</v>
      </c>
      <c r="M3">
        <v>32</v>
      </c>
    </row>
    <row r="4" spans="1:13" x14ac:dyDescent="0.3">
      <c r="A4" s="5" t="s">
        <v>26</v>
      </c>
      <c r="B4">
        <v>56</v>
      </c>
      <c r="C4" s="5" t="s">
        <v>38</v>
      </c>
      <c r="D4">
        <v>961</v>
      </c>
      <c r="E4" s="5" t="s">
        <v>21</v>
      </c>
      <c r="F4">
        <v>17693</v>
      </c>
      <c r="H4" s="4" t="s">
        <v>55</v>
      </c>
      <c r="I4" t="s">
        <v>60</v>
      </c>
      <c r="J4" s="6" t="s">
        <v>15</v>
      </c>
      <c r="K4">
        <v>3669</v>
      </c>
      <c r="L4" s="5" t="s">
        <v>39</v>
      </c>
      <c r="M4">
        <v>42</v>
      </c>
    </row>
    <row r="5" spans="1:13" x14ac:dyDescent="0.3">
      <c r="A5" s="5" t="s">
        <v>20</v>
      </c>
      <c r="B5">
        <v>51</v>
      </c>
      <c r="C5" s="5" t="s">
        <v>47</v>
      </c>
      <c r="D5">
        <v>3482</v>
      </c>
      <c r="E5" s="5" t="s">
        <v>56</v>
      </c>
      <c r="F5">
        <v>53273</v>
      </c>
      <c r="H5" s="5" t="s">
        <v>36</v>
      </c>
      <c r="I5">
        <v>76.6875</v>
      </c>
      <c r="J5" s="6" t="s">
        <v>21</v>
      </c>
      <c r="K5">
        <v>2182</v>
      </c>
      <c r="L5" s="5" t="s">
        <v>23</v>
      </c>
      <c r="M5">
        <v>44</v>
      </c>
    </row>
    <row r="6" spans="1:13" x14ac:dyDescent="0.3">
      <c r="A6" s="5" t="s">
        <v>56</v>
      </c>
      <c r="B6">
        <v>200</v>
      </c>
      <c r="C6" s="5" t="s">
        <v>32</v>
      </c>
      <c r="D6">
        <v>2641</v>
      </c>
      <c r="H6" s="5" t="s">
        <v>48</v>
      </c>
      <c r="I6">
        <v>68.15384615384616</v>
      </c>
      <c r="J6" s="5" t="s">
        <v>34</v>
      </c>
      <c r="K6">
        <v>8180</v>
      </c>
      <c r="L6" s="5" t="s">
        <v>17</v>
      </c>
      <c r="M6">
        <v>39</v>
      </c>
    </row>
    <row r="7" spans="1:13" x14ac:dyDescent="0.3">
      <c r="C7" s="5" t="s">
        <v>35</v>
      </c>
      <c r="D7">
        <v>3363</v>
      </c>
      <c r="H7" s="5" t="s">
        <v>38</v>
      </c>
      <c r="I7">
        <v>84.5</v>
      </c>
      <c r="J7" s="6" t="s">
        <v>29</v>
      </c>
      <c r="K7">
        <v>3008</v>
      </c>
      <c r="L7" s="5" t="s">
        <v>56</v>
      </c>
      <c r="M7">
        <v>200</v>
      </c>
    </row>
    <row r="8" spans="1:13" x14ac:dyDescent="0.3">
      <c r="C8" s="5" t="s">
        <v>46</v>
      </c>
      <c r="D8">
        <v>2933</v>
      </c>
      <c r="H8" s="5" t="s">
        <v>47</v>
      </c>
      <c r="I8">
        <v>69</v>
      </c>
      <c r="J8" s="6" t="s">
        <v>15</v>
      </c>
      <c r="K8">
        <v>2446</v>
      </c>
    </row>
    <row r="9" spans="1:13" x14ac:dyDescent="0.3">
      <c r="C9" s="5" t="s">
        <v>53</v>
      </c>
      <c r="D9">
        <v>3278</v>
      </c>
      <c r="H9" s="5" t="s">
        <v>32</v>
      </c>
      <c r="I9">
        <v>79.36363636363636</v>
      </c>
      <c r="J9" s="6" t="s">
        <v>21</v>
      </c>
      <c r="K9">
        <v>2726</v>
      </c>
    </row>
    <row r="10" spans="1:13" x14ac:dyDescent="0.3">
      <c r="C10" s="5" t="s">
        <v>45</v>
      </c>
      <c r="D10">
        <v>1446</v>
      </c>
      <c r="H10" s="5" t="s">
        <v>35</v>
      </c>
      <c r="I10">
        <v>79.75</v>
      </c>
      <c r="J10" s="5" t="s">
        <v>44</v>
      </c>
      <c r="K10">
        <v>4027</v>
      </c>
    </row>
    <row r="11" spans="1:13" x14ac:dyDescent="0.3">
      <c r="C11" s="5" t="s">
        <v>19</v>
      </c>
      <c r="D11">
        <v>4547</v>
      </c>
      <c r="H11" s="5" t="s">
        <v>46</v>
      </c>
      <c r="I11">
        <v>80</v>
      </c>
      <c r="J11" s="6" t="s">
        <v>29</v>
      </c>
      <c r="K11">
        <v>1055</v>
      </c>
    </row>
    <row r="12" spans="1:13" x14ac:dyDescent="0.3">
      <c r="C12" s="5" t="s">
        <v>43</v>
      </c>
      <c r="D12">
        <v>2899</v>
      </c>
      <c r="H12" s="5" t="s">
        <v>53</v>
      </c>
      <c r="I12">
        <v>73.099999999999994</v>
      </c>
      <c r="J12" s="6" t="s">
        <v>15</v>
      </c>
      <c r="K12">
        <v>1851</v>
      </c>
    </row>
    <row r="13" spans="1:13" x14ac:dyDescent="0.3">
      <c r="C13" s="5" t="s">
        <v>50</v>
      </c>
      <c r="D13">
        <v>2156</v>
      </c>
      <c r="H13" s="5" t="s">
        <v>45</v>
      </c>
      <c r="I13">
        <v>73.666666666666671</v>
      </c>
      <c r="J13" s="6" t="s">
        <v>21</v>
      </c>
      <c r="K13">
        <v>1121</v>
      </c>
    </row>
    <row r="14" spans="1:13" x14ac:dyDescent="0.3">
      <c r="C14" s="5" t="s">
        <v>42</v>
      </c>
      <c r="D14">
        <v>1793</v>
      </c>
      <c r="H14" s="5" t="s">
        <v>19</v>
      </c>
      <c r="I14">
        <v>79.571428571428569</v>
      </c>
      <c r="J14" s="5" t="s">
        <v>41</v>
      </c>
      <c r="K14">
        <v>7059</v>
      </c>
    </row>
    <row r="15" spans="1:13" x14ac:dyDescent="0.3">
      <c r="C15" s="5" t="s">
        <v>54</v>
      </c>
      <c r="D15">
        <v>1603</v>
      </c>
      <c r="H15" s="5" t="s">
        <v>43</v>
      </c>
      <c r="I15">
        <v>72.7</v>
      </c>
      <c r="J15" s="6" t="s">
        <v>29</v>
      </c>
      <c r="K15">
        <v>2282</v>
      </c>
    </row>
    <row r="16" spans="1:13" x14ac:dyDescent="0.3">
      <c r="C16" s="5" t="s">
        <v>40</v>
      </c>
      <c r="D16">
        <v>4226</v>
      </c>
      <c r="H16" s="5" t="s">
        <v>50</v>
      </c>
      <c r="I16">
        <v>77.875</v>
      </c>
      <c r="J16" s="6" t="s">
        <v>15</v>
      </c>
      <c r="K16">
        <v>3272</v>
      </c>
    </row>
    <row r="17" spans="3:11" x14ac:dyDescent="0.3">
      <c r="C17" s="5" t="s">
        <v>49</v>
      </c>
      <c r="D17">
        <v>1237</v>
      </c>
      <c r="H17" s="5" t="s">
        <v>42</v>
      </c>
      <c r="I17">
        <v>74.333333333333329</v>
      </c>
      <c r="J17" s="6" t="s">
        <v>21</v>
      </c>
      <c r="K17">
        <v>1505</v>
      </c>
    </row>
    <row r="18" spans="3:11" x14ac:dyDescent="0.3">
      <c r="C18" s="5" t="s">
        <v>25</v>
      </c>
      <c r="D18">
        <v>3396</v>
      </c>
      <c r="H18" s="5" t="s">
        <v>54</v>
      </c>
      <c r="I18">
        <v>72.25</v>
      </c>
      <c r="J18" s="5" t="s">
        <v>22</v>
      </c>
      <c r="K18">
        <v>4359</v>
      </c>
    </row>
    <row r="19" spans="3:11" x14ac:dyDescent="0.3">
      <c r="C19" s="5" t="s">
        <v>52</v>
      </c>
      <c r="D19">
        <v>1714</v>
      </c>
      <c r="H19" s="5" t="s">
        <v>40</v>
      </c>
      <c r="I19">
        <v>73.92307692307692</v>
      </c>
      <c r="J19" s="6" t="s">
        <v>29</v>
      </c>
      <c r="K19">
        <v>1293</v>
      </c>
    </row>
    <row r="20" spans="3:11" x14ac:dyDescent="0.3">
      <c r="C20" s="5" t="s">
        <v>37</v>
      </c>
      <c r="D20">
        <v>3968</v>
      </c>
      <c r="H20" s="5" t="s">
        <v>49</v>
      </c>
      <c r="I20">
        <v>75.333333333333329</v>
      </c>
      <c r="J20" s="6" t="s">
        <v>15</v>
      </c>
      <c r="K20">
        <v>1201</v>
      </c>
    </row>
    <row r="21" spans="3:11" x14ac:dyDescent="0.3">
      <c r="C21" s="5" t="s">
        <v>13</v>
      </c>
      <c r="D21">
        <v>1277</v>
      </c>
      <c r="H21" s="5" t="s">
        <v>25</v>
      </c>
      <c r="I21">
        <v>73</v>
      </c>
      <c r="J21" s="6" t="s">
        <v>21</v>
      </c>
      <c r="K21">
        <v>1865</v>
      </c>
    </row>
    <row r="22" spans="3:11" x14ac:dyDescent="0.3">
      <c r="C22" s="5" t="s">
        <v>56</v>
      </c>
      <c r="D22">
        <v>53273</v>
      </c>
      <c r="H22" s="5" t="s">
        <v>52</v>
      </c>
      <c r="I22">
        <v>63.285714285714285</v>
      </c>
      <c r="J22" s="5" t="s">
        <v>16</v>
      </c>
      <c r="K22">
        <v>7049</v>
      </c>
    </row>
    <row r="23" spans="3:11" x14ac:dyDescent="0.3">
      <c r="H23" s="5" t="s">
        <v>37</v>
      </c>
      <c r="I23">
        <v>77.454545454545453</v>
      </c>
      <c r="J23" s="6" t="s">
        <v>29</v>
      </c>
      <c r="K23">
        <v>570</v>
      </c>
    </row>
    <row r="24" spans="3:11" x14ac:dyDescent="0.3">
      <c r="H24" s="5" t="s">
        <v>13</v>
      </c>
      <c r="I24">
        <v>76.333333333333329</v>
      </c>
      <c r="J24" s="6" t="s">
        <v>15</v>
      </c>
      <c r="K24">
        <v>3586</v>
      </c>
    </row>
    <row r="25" spans="3:11" x14ac:dyDescent="0.3">
      <c r="H25" s="5" t="s">
        <v>56</v>
      </c>
      <c r="I25">
        <v>75.02</v>
      </c>
      <c r="J25" s="6" t="s">
        <v>21</v>
      </c>
      <c r="K25">
        <v>2893</v>
      </c>
    </row>
    <row r="26" spans="3:11" x14ac:dyDescent="0.3">
      <c r="J26" s="5" t="s">
        <v>27</v>
      </c>
      <c r="K26">
        <v>4848</v>
      </c>
    </row>
    <row r="27" spans="3:11" x14ac:dyDescent="0.3">
      <c r="J27" s="6" t="s">
        <v>29</v>
      </c>
      <c r="K27">
        <v>1121</v>
      </c>
    </row>
    <row r="28" spans="3:11" x14ac:dyDescent="0.3">
      <c r="J28" s="6" t="s">
        <v>15</v>
      </c>
      <c r="K28">
        <v>1725</v>
      </c>
    </row>
    <row r="29" spans="3:11" x14ac:dyDescent="0.3">
      <c r="J29" s="6" t="s">
        <v>21</v>
      </c>
      <c r="K29">
        <v>2002</v>
      </c>
    </row>
    <row r="30" spans="3:11" x14ac:dyDescent="0.3">
      <c r="J30" s="5" t="s">
        <v>10</v>
      </c>
      <c r="K30">
        <v>9059</v>
      </c>
    </row>
    <row r="31" spans="3:11" x14ac:dyDescent="0.3">
      <c r="J31" s="6" t="s">
        <v>29</v>
      </c>
      <c r="K31">
        <v>2804</v>
      </c>
    </row>
    <row r="32" spans="3:11" x14ac:dyDescent="0.3">
      <c r="J32" s="6" t="s">
        <v>15</v>
      </c>
      <c r="K32">
        <v>2856</v>
      </c>
    </row>
    <row r="33" spans="10:11" x14ac:dyDescent="0.3">
      <c r="J33" s="6" t="s">
        <v>21</v>
      </c>
      <c r="K33">
        <v>3399</v>
      </c>
    </row>
    <row r="34" spans="10:11" x14ac:dyDescent="0.3">
      <c r="J34" s="5" t="s">
        <v>56</v>
      </c>
      <c r="K34">
        <v>53273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B396E-B857-4EF5-95AB-1F526CFD21C0}">
  <dimension ref="A1:AP66"/>
  <sheetViews>
    <sheetView tabSelected="1" zoomScale="53" zoomScaleNormal="160" workbookViewId="0">
      <selection activeCell="AW8" sqref="AW8"/>
    </sheetView>
  </sheetViews>
  <sheetFormatPr defaultRowHeight="14.4" x14ac:dyDescent="0.3"/>
  <cols>
    <col min="7" max="7" width="10.77734375" customWidth="1"/>
    <col min="37" max="37" width="13.44140625" customWidth="1"/>
    <col min="38" max="38" width="8.33203125" customWidth="1"/>
  </cols>
  <sheetData>
    <row r="1" spans="1:42" ht="14.4" customHeight="1" x14ac:dyDescent="1.3">
      <c r="A1" s="10" t="s">
        <v>58</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9"/>
      <c r="AN1" s="9"/>
      <c r="AO1" s="9"/>
      <c r="AP1" s="9"/>
    </row>
    <row r="2" spans="1:42" ht="15" customHeight="1" x14ac:dyDescent="1.3">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9"/>
      <c r="AN2" s="9"/>
      <c r="AO2" s="9"/>
      <c r="AP2" s="9"/>
    </row>
    <row r="3" spans="1:42" ht="15" customHeight="1" x14ac:dyDescent="1.3">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9"/>
      <c r="AN3" s="9"/>
      <c r="AO3" s="9"/>
      <c r="AP3" s="9"/>
    </row>
    <row r="4" spans="1:42" ht="15" customHeight="1" x14ac:dyDescent="1.3">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9"/>
      <c r="AN4" s="9"/>
      <c r="AO4" s="9"/>
      <c r="AP4" s="9"/>
    </row>
    <row r="5" spans="1:42" ht="15" customHeight="1" x14ac:dyDescent="1.3">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9"/>
      <c r="AN5" s="9"/>
      <c r="AO5" s="9"/>
      <c r="AP5" s="9"/>
    </row>
    <row r="6" spans="1:42" ht="15" customHeight="1" x14ac:dyDescent="1.3">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row>
    <row r="7" spans="1:42" ht="15" customHeight="1" x14ac:dyDescent="0.3">
      <c r="A7" s="11" t="s">
        <v>62</v>
      </c>
      <c r="B7" s="11"/>
      <c r="C7" s="11"/>
      <c r="D7" s="11"/>
      <c r="E7" s="11"/>
      <c r="F7" s="11"/>
      <c r="G7" s="8"/>
      <c r="H7" s="11" t="s">
        <v>63</v>
      </c>
      <c r="I7" s="11"/>
      <c r="J7" s="11"/>
      <c r="K7" s="11"/>
      <c r="L7" s="11"/>
      <c r="M7" s="11"/>
      <c r="N7" s="8"/>
      <c r="O7" s="11" t="s">
        <v>64</v>
      </c>
      <c r="P7" s="11"/>
      <c r="Q7" s="11"/>
      <c r="R7" s="11"/>
      <c r="S7" s="11"/>
      <c r="T7" s="11"/>
      <c r="U7" s="11"/>
      <c r="V7" s="11"/>
      <c r="W7" s="11"/>
      <c r="X7" s="8"/>
      <c r="Y7" s="11" t="s">
        <v>65</v>
      </c>
      <c r="Z7" s="11"/>
      <c r="AA7" s="11"/>
      <c r="AB7" s="11"/>
      <c r="AC7" s="11"/>
      <c r="AD7" s="11"/>
      <c r="AE7" s="8"/>
      <c r="AF7" s="13" t="s">
        <v>66</v>
      </c>
      <c r="AG7" s="13"/>
      <c r="AH7" s="13"/>
      <c r="AI7" s="13"/>
      <c r="AJ7" s="13"/>
      <c r="AK7" s="13"/>
      <c r="AL7" s="13"/>
      <c r="AM7" s="8"/>
      <c r="AN7" s="8"/>
      <c r="AO7" s="8"/>
      <c r="AP7" s="8"/>
    </row>
    <row r="8" spans="1:42" ht="15" customHeight="1" x14ac:dyDescent="0.3">
      <c r="A8" s="11"/>
      <c r="B8" s="11"/>
      <c r="C8" s="11"/>
      <c r="D8" s="11"/>
      <c r="E8" s="11"/>
      <c r="F8" s="11"/>
      <c r="G8" s="8"/>
      <c r="H8" s="11"/>
      <c r="I8" s="11"/>
      <c r="J8" s="11"/>
      <c r="K8" s="11"/>
      <c r="L8" s="11"/>
      <c r="M8" s="11"/>
      <c r="N8" s="8"/>
      <c r="O8" s="11"/>
      <c r="P8" s="11"/>
      <c r="Q8" s="11"/>
      <c r="R8" s="11"/>
      <c r="S8" s="11"/>
      <c r="T8" s="11"/>
      <c r="U8" s="11"/>
      <c r="V8" s="11"/>
      <c r="W8" s="11"/>
      <c r="X8" s="8"/>
      <c r="Y8" s="11"/>
      <c r="Z8" s="11"/>
      <c r="AA8" s="11"/>
      <c r="AB8" s="11"/>
      <c r="AC8" s="11"/>
      <c r="AD8" s="11"/>
      <c r="AE8" s="8"/>
      <c r="AF8" s="13"/>
      <c r="AG8" s="13"/>
      <c r="AH8" s="13"/>
      <c r="AI8" s="13"/>
      <c r="AJ8" s="13"/>
      <c r="AK8" s="13"/>
      <c r="AL8" s="13"/>
      <c r="AM8" s="8"/>
      <c r="AN8" s="8"/>
      <c r="AO8" s="8"/>
      <c r="AP8" s="8"/>
    </row>
    <row r="9" spans="1:42" ht="15" customHeight="1" x14ac:dyDescent="0.3">
      <c r="A9" s="11"/>
      <c r="B9" s="11"/>
      <c r="C9" s="11"/>
      <c r="D9" s="11"/>
      <c r="E9" s="11"/>
      <c r="F9" s="11"/>
      <c r="G9" s="8"/>
      <c r="H9" s="11"/>
      <c r="I9" s="11"/>
      <c r="J9" s="11"/>
      <c r="K9" s="11"/>
      <c r="L9" s="11"/>
      <c r="M9" s="11"/>
      <c r="N9" s="8"/>
      <c r="O9" s="11"/>
      <c r="P9" s="11"/>
      <c r="Q9" s="11"/>
      <c r="R9" s="11"/>
      <c r="S9" s="11"/>
      <c r="T9" s="11"/>
      <c r="U9" s="11"/>
      <c r="V9" s="11"/>
      <c r="W9" s="11"/>
      <c r="X9" s="8"/>
      <c r="Y9" s="11"/>
      <c r="Z9" s="11"/>
      <c r="AA9" s="11"/>
      <c r="AB9" s="11"/>
      <c r="AC9" s="11"/>
      <c r="AD9" s="11"/>
      <c r="AE9" s="8"/>
      <c r="AF9" s="13"/>
      <c r="AG9" s="13"/>
      <c r="AH9" s="13"/>
      <c r="AI9" s="13"/>
      <c r="AJ9" s="13"/>
      <c r="AK9" s="13"/>
      <c r="AL9" s="13"/>
      <c r="AM9" s="8"/>
      <c r="AN9" s="8"/>
      <c r="AO9" s="8"/>
      <c r="AP9" s="8"/>
    </row>
    <row r="10" spans="1:42" ht="15" customHeight="1" x14ac:dyDescent="0.3">
      <c r="A10" s="15">
        <f>AVERAGE(Table1[Bin_Level_percent])</f>
        <v>75.02</v>
      </c>
      <c r="B10" s="15"/>
      <c r="C10" s="15"/>
      <c r="D10" s="15"/>
      <c r="E10" s="15"/>
      <c r="F10" s="15"/>
      <c r="G10" s="8"/>
      <c r="H10" s="12">
        <f>SUM(Table1[Waste_Amount_kg])</f>
        <v>53273</v>
      </c>
      <c r="I10" s="12"/>
      <c r="J10" s="12"/>
      <c r="K10" s="12"/>
      <c r="L10" s="12"/>
      <c r="M10" s="12"/>
      <c r="N10" s="8"/>
      <c r="O10" s="12">
        <f>AVERAGE(Table1[Collection_Duration_mins])</f>
        <v>12.545</v>
      </c>
      <c r="P10" s="12"/>
      <c r="Q10" s="12"/>
      <c r="R10" s="12"/>
      <c r="S10" s="12"/>
      <c r="T10" s="12"/>
      <c r="U10" s="12"/>
      <c r="V10" s="12"/>
      <c r="W10" s="12"/>
      <c r="X10" s="8"/>
      <c r="Y10" s="15" t="str">
        <f>Sheet1!C203</f>
        <v>ROUTE-4</v>
      </c>
      <c r="Z10" s="15"/>
      <c r="AA10" s="15"/>
      <c r="AB10" s="15"/>
      <c r="AC10" s="15"/>
      <c r="AD10" s="15"/>
      <c r="AE10" s="8"/>
      <c r="AF10" s="14" t="str">
        <f>Sheet1!F203</f>
        <v>Organic</v>
      </c>
      <c r="AG10" s="14"/>
      <c r="AH10" s="14"/>
      <c r="AI10" s="14"/>
      <c r="AJ10" s="14"/>
      <c r="AK10" s="14"/>
      <c r="AL10" s="14"/>
      <c r="AM10" s="8"/>
      <c r="AN10" s="8"/>
      <c r="AO10" s="8"/>
      <c r="AP10" s="8"/>
    </row>
    <row r="11" spans="1:42" ht="15" customHeight="1" x14ac:dyDescent="0.3">
      <c r="A11" s="15"/>
      <c r="B11" s="15"/>
      <c r="C11" s="15"/>
      <c r="D11" s="15"/>
      <c r="E11" s="15"/>
      <c r="F11" s="15"/>
      <c r="G11" s="8"/>
      <c r="H11" s="12"/>
      <c r="I11" s="12"/>
      <c r="J11" s="12"/>
      <c r="K11" s="12"/>
      <c r="L11" s="12"/>
      <c r="M11" s="12"/>
      <c r="N11" s="8"/>
      <c r="O11" s="12"/>
      <c r="P11" s="12"/>
      <c r="Q11" s="12"/>
      <c r="R11" s="12"/>
      <c r="S11" s="12"/>
      <c r="T11" s="12"/>
      <c r="U11" s="12"/>
      <c r="V11" s="12"/>
      <c r="W11" s="12"/>
      <c r="X11" s="8"/>
      <c r="Y11" s="15"/>
      <c r="Z11" s="15"/>
      <c r="AA11" s="15"/>
      <c r="AB11" s="15"/>
      <c r="AC11" s="15"/>
      <c r="AD11" s="15"/>
      <c r="AE11" s="8"/>
      <c r="AF11" s="14"/>
      <c r="AG11" s="14"/>
      <c r="AH11" s="14"/>
      <c r="AI11" s="14"/>
      <c r="AJ11" s="14"/>
      <c r="AK11" s="14"/>
      <c r="AL11" s="14"/>
      <c r="AM11" s="8"/>
      <c r="AN11" s="8"/>
      <c r="AO11" s="8"/>
      <c r="AP11" s="8"/>
    </row>
    <row r="12" spans="1:42" ht="15" customHeight="1" x14ac:dyDescent="0.3">
      <c r="A12" s="15"/>
      <c r="B12" s="15"/>
      <c r="C12" s="15"/>
      <c r="D12" s="15"/>
      <c r="E12" s="15"/>
      <c r="F12" s="15"/>
      <c r="G12" s="8"/>
      <c r="H12" s="12"/>
      <c r="I12" s="12"/>
      <c r="J12" s="12"/>
      <c r="K12" s="12"/>
      <c r="L12" s="12"/>
      <c r="M12" s="12"/>
      <c r="N12" s="8"/>
      <c r="O12" s="12"/>
      <c r="P12" s="12"/>
      <c r="Q12" s="12"/>
      <c r="R12" s="12"/>
      <c r="S12" s="12"/>
      <c r="T12" s="12"/>
      <c r="U12" s="12"/>
      <c r="V12" s="12"/>
      <c r="W12" s="12"/>
      <c r="X12" s="8"/>
      <c r="Y12" s="15"/>
      <c r="Z12" s="15"/>
      <c r="AA12" s="15"/>
      <c r="AB12" s="15"/>
      <c r="AC12" s="15"/>
      <c r="AD12" s="15"/>
      <c r="AE12" s="8"/>
      <c r="AF12" s="14"/>
      <c r="AG12" s="14"/>
      <c r="AH12" s="14"/>
      <c r="AI12" s="14"/>
      <c r="AJ12" s="14"/>
      <c r="AK12" s="14"/>
      <c r="AL12" s="14"/>
      <c r="AM12" s="8"/>
      <c r="AN12" s="8"/>
      <c r="AO12" s="8"/>
      <c r="AP12" s="8"/>
    </row>
    <row r="13" spans="1:42" x14ac:dyDescent="0.3">
      <c r="A13" s="7"/>
      <c r="B13" s="7"/>
      <c r="C13" s="7"/>
      <c r="D13" s="7"/>
      <c r="E13" s="7"/>
      <c r="F13" s="7"/>
      <c r="G13" s="7"/>
      <c r="H13" s="8"/>
      <c r="I13" s="8"/>
      <c r="J13" s="8"/>
      <c r="K13" s="8"/>
      <c r="L13" s="8"/>
      <c r="M13" s="8"/>
      <c r="N13" s="7"/>
      <c r="O13" s="8"/>
      <c r="P13" s="7"/>
      <c r="Q13" s="7"/>
      <c r="R13" s="7"/>
      <c r="S13" s="7"/>
      <c r="T13" s="7"/>
      <c r="U13" s="7"/>
      <c r="V13" s="7"/>
      <c r="W13" s="7"/>
      <c r="X13" s="7"/>
      <c r="Y13" s="7"/>
      <c r="Z13" s="7"/>
      <c r="AA13" s="7"/>
      <c r="AB13" s="7"/>
      <c r="AC13" s="7"/>
      <c r="AD13" s="7"/>
      <c r="AE13" s="7"/>
      <c r="AF13" s="7"/>
      <c r="AG13" s="7"/>
      <c r="AH13" s="7"/>
      <c r="AI13" s="7"/>
      <c r="AJ13" s="7"/>
      <c r="AK13" s="7"/>
      <c r="AL13" s="7"/>
      <c r="AM13" s="8"/>
      <c r="AN13" s="8"/>
      <c r="AO13" s="8"/>
      <c r="AP13" s="8"/>
    </row>
    <row r="14" spans="1:42"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8"/>
      <c r="AN14" s="8"/>
      <c r="AO14" s="8"/>
      <c r="AP14" s="8"/>
    </row>
    <row r="15" spans="1:42"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8"/>
      <c r="AN15" s="8"/>
      <c r="AO15" s="8"/>
      <c r="AP15" s="8"/>
    </row>
    <row r="16" spans="1:42"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8"/>
      <c r="AN16" s="8"/>
      <c r="AO16" s="8"/>
      <c r="AP16" s="8"/>
    </row>
    <row r="17" spans="1:42"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8"/>
      <c r="AN17" s="8"/>
      <c r="AO17" s="8"/>
      <c r="AP17" s="8"/>
    </row>
    <row r="18" spans="1:42"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8"/>
      <c r="AN18" s="8"/>
      <c r="AO18" s="8"/>
      <c r="AP18" s="8"/>
    </row>
    <row r="19" spans="1:42"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8"/>
      <c r="AN19" s="8"/>
      <c r="AO19" s="8"/>
      <c r="AP19" s="8"/>
    </row>
    <row r="20" spans="1:42"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8"/>
      <c r="AN20" s="8"/>
      <c r="AO20" s="8"/>
      <c r="AP20" s="8"/>
    </row>
    <row r="21" spans="1:42"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8"/>
      <c r="AN21" s="8"/>
      <c r="AO21" s="8"/>
      <c r="AP21" s="8"/>
    </row>
    <row r="22" spans="1:42"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8"/>
      <c r="AN22" s="8"/>
      <c r="AO22" s="8"/>
      <c r="AP22" s="8"/>
    </row>
    <row r="23" spans="1:42"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8"/>
      <c r="AN23" s="8"/>
      <c r="AO23" s="8"/>
      <c r="AP23" s="8"/>
    </row>
    <row r="24" spans="1:42"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8"/>
      <c r="AN24" s="8"/>
      <c r="AO24" s="8"/>
      <c r="AP24" s="8"/>
    </row>
    <row r="25" spans="1:42"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8"/>
      <c r="AN25" s="8"/>
      <c r="AO25" s="8"/>
      <c r="AP25" s="8"/>
    </row>
    <row r="26" spans="1:42"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8"/>
      <c r="AN26" s="8"/>
      <c r="AO26" s="8"/>
      <c r="AP26" s="8"/>
    </row>
    <row r="27" spans="1:42"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8"/>
      <c r="AN27" s="8"/>
      <c r="AO27" s="8"/>
      <c r="AP27" s="8"/>
    </row>
    <row r="28" spans="1:42"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8"/>
      <c r="AN28" s="8"/>
      <c r="AO28" s="8"/>
      <c r="AP28" s="8"/>
    </row>
    <row r="29" spans="1:42"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8"/>
      <c r="AN29" s="8"/>
      <c r="AO29" s="8"/>
      <c r="AP29" s="8"/>
    </row>
    <row r="30" spans="1:42"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8"/>
      <c r="AN30" s="8"/>
      <c r="AO30" s="8"/>
      <c r="AP30" s="8"/>
    </row>
    <row r="31" spans="1:42"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8"/>
      <c r="AN31" s="8"/>
      <c r="AO31" s="8"/>
      <c r="AP31" s="8"/>
    </row>
    <row r="32" spans="1:42"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8"/>
      <c r="AN32" s="8"/>
      <c r="AO32" s="8"/>
      <c r="AP32" s="8"/>
    </row>
    <row r="33" spans="1:42"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8"/>
      <c r="AN33" s="8"/>
      <c r="AO33" s="8"/>
      <c r="AP33" s="8"/>
    </row>
    <row r="34" spans="1:42"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8"/>
      <c r="AN34" s="8"/>
      <c r="AO34" s="8"/>
      <c r="AP34" s="8"/>
    </row>
    <row r="35" spans="1:42"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8"/>
      <c r="AN35" s="8"/>
      <c r="AO35" s="8"/>
      <c r="AP35" s="8"/>
    </row>
    <row r="36" spans="1:42"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8"/>
      <c r="AN36" s="8"/>
      <c r="AO36" s="8"/>
      <c r="AP36" s="8"/>
    </row>
    <row r="37" spans="1:42"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8"/>
      <c r="AN37" s="8"/>
      <c r="AO37" s="8"/>
      <c r="AP37" s="8"/>
    </row>
    <row r="38" spans="1:42"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8"/>
      <c r="AN38" s="8"/>
      <c r="AO38" s="8"/>
      <c r="AP38" s="8"/>
    </row>
    <row r="39" spans="1:42"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8"/>
      <c r="AN39" s="8"/>
      <c r="AO39" s="8"/>
      <c r="AP39" s="8"/>
    </row>
    <row r="40" spans="1:42"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8"/>
      <c r="AN40" s="8"/>
      <c r="AO40" s="8"/>
      <c r="AP40" s="8"/>
    </row>
    <row r="41" spans="1:42"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8"/>
      <c r="AN41" s="8"/>
      <c r="AO41" s="8"/>
      <c r="AP41" s="8"/>
    </row>
    <row r="42" spans="1:42"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8"/>
      <c r="AN42" s="8"/>
      <c r="AO42" s="8"/>
      <c r="AP42" s="8"/>
    </row>
    <row r="43" spans="1:42"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8"/>
      <c r="AN43" s="8"/>
      <c r="AO43" s="8"/>
      <c r="AP43" s="8"/>
    </row>
    <row r="44" spans="1:42"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8"/>
      <c r="AN44" s="8"/>
      <c r="AO44" s="8"/>
      <c r="AP44" s="8"/>
    </row>
    <row r="45" spans="1:42"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8"/>
      <c r="AN45" s="8"/>
      <c r="AO45" s="8"/>
      <c r="AP45" s="8"/>
    </row>
    <row r="46" spans="1:42"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8"/>
      <c r="AN46" s="8"/>
      <c r="AO46" s="8"/>
      <c r="AP46" s="8"/>
    </row>
    <row r="47" spans="1:42" x14ac:dyDescent="0.3">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8"/>
      <c r="AN47" s="8"/>
      <c r="AO47" s="8"/>
      <c r="AP47" s="8"/>
    </row>
    <row r="48" spans="1:42" x14ac:dyDescent="0.3">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8"/>
      <c r="AN48" s="8"/>
      <c r="AO48" s="8"/>
      <c r="AP48" s="8"/>
    </row>
    <row r="49" spans="1:42" x14ac:dyDescent="0.3">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8"/>
      <c r="AN49" s="8"/>
      <c r="AO49" s="8"/>
      <c r="AP49" s="8"/>
    </row>
    <row r="50" spans="1:42" x14ac:dyDescent="0.3">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8"/>
      <c r="AN50" s="8"/>
      <c r="AO50" s="8"/>
      <c r="AP50" s="8"/>
    </row>
    <row r="51" spans="1:42" x14ac:dyDescent="0.3">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8"/>
      <c r="AN51" s="8"/>
      <c r="AO51" s="8"/>
      <c r="AP51" s="8"/>
    </row>
    <row r="52" spans="1:42" x14ac:dyDescent="0.3">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8"/>
      <c r="AN52" s="8"/>
      <c r="AO52" s="8"/>
      <c r="AP52" s="8"/>
    </row>
    <row r="53" spans="1:42" x14ac:dyDescent="0.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8"/>
      <c r="AN53" s="8"/>
      <c r="AO53" s="8"/>
      <c r="AP53" s="8"/>
    </row>
    <row r="54" spans="1:42" x14ac:dyDescent="0.3">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8"/>
      <c r="AN54" s="8"/>
      <c r="AO54" s="8"/>
      <c r="AP54" s="8"/>
    </row>
    <row r="55" spans="1:42" x14ac:dyDescent="0.3">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8"/>
      <c r="AN55" s="8"/>
      <c r="AO55" s="8"/>
      <c r="AP55" s="8"/>
    </row>
    <row r="56" spans="1:42" x14ac:dyDescent="0.3">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8"/>
      <c r="AN56" s="8"/>
      <c r="AO56" s="8"/>
      <c r="AP56" s="8"/>
    </row>
    <row r="57" spans="1:42" x14ac:dyDescent="0.3">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8"/>
      <c r="AN57" s="8"/>
      <c r="AO57" s="8"/>
      <c r="AP57" s="8"/>
    </row>
    <row r="58" spans="1:42" x14ac:dyDescent="0.3">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8"/>
      <c r="AN58" s="8"/>
      <c r="AO58" s="8"/>
      <c r="AP58" s="8"/>
    </row>
    <row r="59" spans="1:42" x14ac:dyDescent="0.3">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8"/>
      <c r="AN59" s="8"/>
      <c r="AO59" s="8"/>
      <c r="AP59" s="8"/>
    </row>
    <row r="60" spans="1:42" x14ac:dyDescent="0.3">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8"/>
      <c r="AN60" s="8"/>
      <c r="AO60" s="8"/>
      <c r="AP60" s="8"/>
    </row>
    <row r="61" spans="1:42" x14ac:dyDescent="0.3">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8"/>
      <c r="AN61" s="8"/>
      <c r="AO61" s="8"/>
      <c r="AP61" s="8"/>
    </row>
    <row r="62" spans="1:42" x14ac:dyDescent="0.3">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8"/>
      <c r="AN62" s="8"/>
      <c r="AO62" s="8"/>
      <c r="AP62" s="8"/>
    </row>
    <row r="63" spans="1:42" x14ac:dyDescent="0.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8"/>
      <c r="AN63" s="8"/>
      <c r="AO63" s="8"/>
      <c r="AP63" s="8"/>
    </row>
    <row r="64" spans="1:42" x14ac:dyDescent="0.3">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8"/>
      <c r="AN64" s="8"/>
      <c r="AO64" s="8"/>
      <c r="AP64" s="8"/>
    </row>
    <row r="65" spans="1:42" x14ac:dyDescent="0.3">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row>
    <row r="66" spans="1:42" x14ac:dyDescent="0.3">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row>
  </sheetData>
  <mergeCells count="11">
    <mergeCell ref="A1:AL5"/>
    <mergeCell ref="H7:M9"/>
    <mergeCell ref="H10:M12"/>
    <mergeCell ref="O7:W9"/>
    <mergeCell ref="AF7:AL9"/>
    <mergeCell ref="AF10:AL12"/>
    <mergeCell ref="O10:W12"/>
    <mergeCell ref="A7:F9"/>
    <mergeCell ref="A10:F12"/>
    <mergeCell ref="Y7:AD9"/>
    <mergeCell ref="Y10:AD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Akshit Mishra</cp:lastModifiedBy>
  <dcterms:created xsi:type="dcterms:W3CDTF">2026-10-09T13:06:06Z</dcterms:created>
  <dcterms:modified xsi:type="dcterms:W3CDTF">2026-10-14T13:23:36Z</dcterms:modified>
</cp:coreProperties>
</file>