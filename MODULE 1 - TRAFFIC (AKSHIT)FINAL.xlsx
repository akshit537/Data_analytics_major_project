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kshi\Downloads\"/>
    </mc:Choice>
  </mc:AlternateContent>
  <xr:revisionPtr revIDLastSave="0" documentId="8_{5960DB91-28DA-44B7-9034-7B45F095CD77}" xr6:coauthVersionLast="47" xr6:coauthVersionMax="47" xr10:uidLastSave="{00000000-0000-0000-0000-000000000000}"/>
  <bookViews>
    <workbookView xWindow="-108" yWindow="-108" windowWidth="23256" windowHeight="13176" xr2:uid="{00000000-000D-0000-FFFF-FFFF00000000}"/>
  </bookViews>
  <sheets>
    <sheet name="Dashboard" sheetId="4" r:id="rId1"/>
    <sheet name="Traffic_Data" sheetId="1" r:id="rId2"/>
    <sheet name="Pivot_Summary" sheetId="2" r:id="rId3"/>
  </sheets>
  <definedNames>
    <definedName name="Slicer_Location">#N/A</definedName>
    <definedName name="Slicer_Traffic_Condition">#N/A</definedName>
    <definedName name="Slicer_Vehicle_Type">#N/A</definedName>
    <definedName name="Slicer_Weath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10" i="4" l="1"/>
  <c r="V10" i="4"/>
  <c r="L10" i="4"/>
  <c r="A10" i="4"/>
</calcChain>
</file>

<file path=xl/sharedStrings.xml><?xml version="1.0" encoding="utf-8"?>
<sst xmlns="http://schemas.openxmlformats.org/spreadsheetml/2006/main" count="1081" uniqueCount="43">
  <si>
    <t>Timestamp</t>
  </si>
  <si>
    <t>Location</t>
  </si>
  <si>
    <t>Latitude</t>
  </si>
  <si>
    <t>Longitude</t>
  </si>
  <si>
    <t>Road_Type</t>
  </si>
  <si>
    <t>Vehicle_Type</t>
  </si>
  <si>
    <t>Speed_kmh</t>
  </si>
  <si>
    <t>Travel_Time_mins</t>
  </si>
  <si>
    <t>Traffic_Condition</t>
  </si>
  <si>
    <t>Weather</t>
  </si>
  <si>
    <t>Outer Ring Road (IIT Delhi)</t>
  </si>
  <si>
    <t>Arterial</t>
  </si>
  <si>
    <t>Truck</t>
  </si>
  <si>
    <t>Congested</t>
  </si>
  <si>
    <t>Clear</t>
  </si>
  <si>
    <t>Car</t>
  </si>
  <si>
    <t>Medium</t>
  </si>
  <si>
    <t>Rain</t>
  </si>
  <si>
    <t>NH8 (near Airport)</t>
  </si>
  <si>
    <t>Highway</t>
  </si>
  <si>
    <t>DND Flyway</t>
  </si>
  <si>
    <t>Bus</t>
  </si>
  <si>
    <t>Motorcycle</t>
  </si>
  <si>
    <t>AIIMS Crossing</t>
  </si>
  <si>
    <t>High</t>
  </si>
  <si>
    <t>Chandni Chowk</t>
  </si>
  <si>
    <t>Collector</t>
  </si>
  <si>
    <t>Auto Rickshaw</t>
  </si>
  <si>
    <t>India Gate Circle</t>
  </si>
  <si>
    <t>Low</t>
  </si>
  <si>
    <t>Hazy</t>
  </si>
  <si>
    <t>Rajiv Chowk Metro Area</t>
  </si>
  <si>
    <t>Cloudy</t>
  </si>
  <si>
    <t>Connaught Place</t>
  </si>
  <si>
    <t>Row Labels</t>
  </si>
  <si>
    <t>Grand Total</t>
  </si>
  <si>
    <t>Average of Speed_kmh</t>
  </si>
  <si>
    <t>Count of Vehicle_Type</t>
  </si>
  <si>
    <t>Average of Travel_Time_mins</t>
  </si>
  <si>
    <t>Column Labels</t>
  </si>
  <si>
    <t>Count of Road_Type</t>
  </si>
  <si>
    <t>DELHI TRAFFIC ANALYTICS</t>
  </si>
  <si>
    <t>HAZY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</si>
</sst>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9" x14ac:knownFonts="1">
    <font>
      <sz val="11"/>
      <color theme="1"/>
      <name val="Calibri"/>
      <family val="2"/>
      <scheme val="minor"/>
    </font>
    <font>
      <b/>
      <sz val="11"/>
      <color theme="2"/>
      <name val="Calibri"/>
      <family val="2"/>
    </font>
    <font>
      <b/>
      <sz val="11"/>
      <color theme="0" tint="-4.9989318521683403E-2"/>
      <name val="Calibri"/>
      <family val="2"/>
    </font>
    <font>
      <b/>
      <sz val="72"/>
      <color theme="1"/>
      <name val="Calibri"/>
      <family val="2"/>
      <scheme val="minor"/>
    </font>
    <font>
      <sz val="11"/>
      <color theme="0" tint="-4.9989318521683403E-2"/>
      <name val="Calibri"/>
      <family val="2"/>
      <scheme val="minor"/>
    </font>
    <font>
      <b/>
      <sz val="48"/>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8" tint="-0.249977111117893"/>
        <bgColor indexed="64"/>
      </patternFill>
    </fill>
    <fill>
      <patternFill patternType="solid">
        <fgColor theme="1"/>
        <bgColor indexed="64"/>
      </patternFill>
    </fill>
    <fill>
      <patternFill patternType="solid">
        <fgColor theme="8" tint="0.39997558519241921"/>
        <bgColor indexed="64"/>
      </patternFill>
    </fill>
    <fill>
      <patternFill patternType="solid">
        <fgColor theme="8" tint="0.59999389629810485"/>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3" borderId="0" xfId="0" applyFill="1"/>
    <xf numFmtId="0" fontId="0" fillId="5" borderId="0" xfId="0" applyFill="1" applyAlignment="1">
      <alignment horizontal="left"/>
    </xf>
    <xf numFmtId="0" fontId="4" fillId="3" borderId="0" xfId="0" applyFont="1" applyFill="1"/>
    <xf numFmtId="0" fontId="0" fillId="2" borderId="0" xfId="0" applyFill="1" applyAlignment="1">
      <alignment horizontal="left"/>
    </xf>
    <xf numFmtId="2" fontId="0" fillId="5" borderId="0" xfId="0" applyNumberFormat="1" applyFill="1"/>
    <xf numFmtId="2" fontId="0" fillId="2" borderId="0" xfId="0" applyNumberFormat="1" applyFill="1"/>
    <xf numFmtId="0" fontId="6" fillId="0" borderId="0" xfId="0" applyFont="1"/>
    <xf numFmtId="0" fontId="7" fillId="0" borderId="0" xfId="0" applyFont="1"/>
    <xf numFmtId="164" fontId="8" fillId="0" borderId="2" xfId="0" applyNumberFormat="1" applyFont="1" applyBorder="1" applyAlignment="1">
      <alignment horizontal="center" vertical="center"/>
    </xf>
    <xf numFmtId="0" fontId="8" fillId="0" borderId="2" xfId="0" applyFont="1" applyBorder="1" applyAlignment="1">
      <alignment horizontal="center" vertical="center"/>
    </xf>
    <xf numFmtId="0" fontId="0" fillId="5" borderId="0" xfId="0" applyFill="1"/>
    <xf numFmtId="0" fontId="0" fillId="2" borderId="0" xfId="0" applyFill="1"/>
    <xf numFmtId="0" fontId="3" fillId="4" borderId="0" xfId="0" applyFont="1" applyFill="1" applyAlignment="1">
      <alignment horizontal="center"/>
    </xf>
    <xf numFmtId="0" fontId="5" fillId="5" borderId="0" xfId="0" applyFont="1" applyFill="1" applyAlignment="1">
      <alignment horizontal="center"/>
    </xf>
  </cellXfs>
  <cellStyles count="1">
    <cellStyle name="Normal" xfId="0" builtinId="0"/>
  </cellStyles>
  <dxfs count="107">
    <dxf>
      <font>
        <color theme="0"/>
      </font>
      <fill>
        <patternFill>
          <bgColor rgb="FFFF0000"/>
        </patternFill>
      </fill>
    </dxf>
    <dxf>
      <font>
        <color theme="0"/>
      </font>
      <fill>
        <patternFill>
          <bgColor theme="9" tint="-0.499984740745262"/>
        </patternFill>
      </fill>
    </dxf>
    <dxf>
      <font>
        <color theme="1"/>
      </font>
      <fill>
        <patternFill>
          <bgColor rgb="FFFFC000"/>
        </patternFill>
      </fill>
    </dxf>
    <dxf>
      <font>
        <color theme="1"/>
      </font>
      <fill>
        <patternFill>
          <bgColor rgb="FF92D050"/>
        </patternFill>
      </fill>
    </dxf>
    <dxf>
      <font>
        <color rgb="FF9C0006"/>
      </font>
      <fill>
        <patternFill>
          <bgColor rgb="FFFFC7CE"/>
        </patternFill>
      </fill>
    </dxf>
    <dxf>
      <font>
        <color rgb="FFC00000"/>
      </font>
      <fill>
        <patternFill>
          <bgColor theme="5" tint="0.79998168889431442"/>
        </patternFill>
      </fill>
    </dxf>
    <dxf>
      <font>
        <color rgb="FF9C5700"/>
      </font>
      <fill>
        <patternFill>
          <bgColor rgb="FFFFEB9C"/>
        </patternFill>
      </fill>
    </dxf>
    <dxf>
      <font>
        <color rgb="FF006100"/>
      </font>
      <fill>
        <patternFill>
          <bgColor rgb="FFC6EFCE"/>
        </patternFill>
      </fill>
    </dxf>
    <dxf>
      <fill>
        <patternFill>
          <bgColor theme="8" tint="-0.249977111117893"/>
        </patternFill>
      </fill>
    </dxf>
    <dxf>
      <fill>
        <patternFill>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59999389629810485"/>
        </patternFill>
      </fill>
    </dxf>
    <dxf>
      <font>
        <color theme="0" tint="-4.9989318521683403E-2"/>
      </font>
    </dxf>
    <dxf>
      <font>
        <color theme="0" tint="-4.9989318521683403E-2"/>
      </font>
    </dxf>
    <dxf>
      <fill>
        <patternFill patternType="solid">
          <bgColor theme="1"/>
        </patternFill>
      </fill>
    </dxf>
    <dxf>
      <fill>
        <patternFill patternType="solid">
          <bgColor theme="1"/>
        </patternFill>
      </fill>
    </dxf>
    <dxf>
      <fill>
        <patternFill>
          <bgColor theme="8" tint="-0.249977111117893"/>
        </patternFill>
      </fill>
    </dxf>
    <dxf>
      <fill>
        <patternFill>
          <bgColor theme="8" tint="-0.249977111117893"/>
        </patternFill>
      </fill>
    </dxf>
    <dxf>
      <fill>
        <patternFill>
          <bgColor rgb="FF0070C0"/>
        </patternFill>
      </fill>
    </dxf>
    <dxf>
      <fill>
        <patternFill patternType="solid">
          <bgColor theme="8" tint="-0.249977111117893"/>
        </patternFill>
      </fill>
    </dxf>
    <dxf>
      <fill>
        <patternFill patternType="solid">
          <bgColor theme="8" tint="-0.249977111117893"/>
        </patternFill>
      </fill>
    </dxf>
    <dxf>
      <fill>
        <patternFill patternType="solid">
          <bgColor theme="8" tint="0.59999389629810485"/>
        </patternFill>
      </fill>
    </dxf>
    <dxf>
      <font>
        <color theme="0" tint="-4.9989318521683403E-2"/>
      </font>
    </dxf>
    <dxf>
      <font>
        <color theme="0" tint="-4.9989318521683403E-2"/>
      </font>
    </dxf>
    <dxf>
      <fill>
        <patternFill patternType="solid">
          <bgColor theme="1"/>
        </patternFill>
      </fill>
    </dxf>
    <dxf>
      <fill>
        <patternFill patternType="solid">
          <bgColor theme="1"/>
        </patternFill>
      </fill>
    </dxf>
    <dxf>
      <fill>
        <patternFill>
          <bgColor theme="8" tint="0.59999389629810485"/>
        </patternFill>
      </fill>
    </dxf>
    <dxf>
      <fill>
        <patternFill>
          <bgColor theme="8" tint="-0.249977111117893"/>
        </patternFill>
      </fill>
    </dxf>
    <dxf>
      <fill>
        <patternFill>
          <bgColor theme="8" tint="-0.249977111117893"/>
        </patternFill>
      </fill>
    </dxf>
    <dxf>
      <fill>
        <patternFill>
          <bgColor rgb="FF0070C0"/>
        </patternFill>
      </fill>
    </dxf>
    <dxf>
      <fill>
        <patternFill patternType="solid">
          <bgColor theme="8" tint="-0.249977111117893"/>
        </patternFill>
      </fill>
    </dxf>
    <dxf>
      <fill>
        <patternFill patternType="solid">
          <bgColor theme="8" tint="-0.249977111117893"/>
        </patternFill>
      </fill>
    </dxf>
    <dxf>
      <fill>
        <patternFill patternType="solid">
          <bgColor theme="8" tint="0.59999389629810485"/>
        </patternFill>
      </fill>
    </dxf>
    <dxf>
      <fill>
        <patternFill patternType="solid">
          <bgColor theme="8" tint="0.59999389629810485"/>
        </patternFill>
      </fill>
    </dxf>
    <dxf>
      <font>
        <color theme="0" tint="-4.9989318521683403E-2"/>
      </font>
    </dxf>
    <dxf>
      <font>
        <color theme="0" tint="-4.9989318521683403E-2"/>
      </font>
    </dxf>
    <dxf>
      <fill>
        <patternFill patternType="solid">
          <bgColor theme="1"/>
        </patternFill>
      </fill>
    </dxf>
    <dxf>
      <fill>
        <patternFill patternType="solid">
          <bgColor theme="1"/>
        </patternFill>
      </fill>
    </dxf>
    <dxf>
      <fill>
        <patternFill>
          <bgColor theme="8" tint="-0.249977111117893"/>
        </patternFill>
      </fill>
    </dxf>
    <dxf>
      <fill>
        <patternFill>
          <bgColor theme="8" tint="-0.249977111117893"/>
        </patternFill>
      </fill>
    </dxf>
    <dxf>
      <fill>
        <patternFill>
          <bgColor theme="8" tint="-0.249977111117893"/>
        </patternFill>
      </fill>
    </dxf>
    <dxf>
      <font>
        <color theme="0" tint="-4.9989318521683403E-2"/>
      </font>
    </dxf>
    <dxf>
      <font>
        <color theme="0" tint="-4.9989318521683403E-2"/>
      </font>
    </dxf>
    <dxf>
      <fill>
        <patternFill>
          <bgColor theme="1"/>
        </patternFill>
      </fill>
    </dxf>
    <dxf>
      <fill>
        <patternFill>
          <bgColor theme="1"/>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bgColor theme="8" tint="-0.249977111117893"/>
        </patternFill>
      </fill>
    </dxf>
    <dxf>
      <fill>
        <patternFill>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59999389629810485"/>
        </patternFill>
      </fill>
    </dxf>
    <dxf>
      <fill>
        <patternFill patternType="solid">
          <bgColor theme="8" tint="0.59999389629810485"/>
        </patternFill>
      </fill>
    </dxf>
    <dxf>
      <font>
        <color theme="0" tint="-4.9989318521683403E-2"/>
      </font>
    </dxf>
    <dxf>
      <font>
        <color theme="0" tint="-4.9989318521683403E-2"/>
      </font>
    </dxf>
    <dxf>
      <fill>
        <patternFill patternType="solid">
          <bgColor theme="1"/>
        </patternFill>
      </fill>
    </dxf>
    <dxf>
      <fill>
        <patternFill patternType="solid">
          <bgColor theme="1"/>
        </patternFill>
      </fill>
    </dxf>
    <dxf>
      <fill>
        <patternFill>
          <bgColor theme="8" tint="-0.249977111117893"/>
        </patternFill>
      </fill>
    </dxf>
    <dxf>
      <fill>
        <patternFill>
          <bgColor theme="8" tint="-0.249977111117893"/>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1"/>
        </patternFill>
      </fill>
    </dxf>
    <dxf>
      <fill>
        <patternFill patternType="solid">
          <bgColor theme="1"/>
        </patternFill>
      </fill>
    </dxf>
    <dxf>
      <font>
        <color theme="0" tint="-4.9989318521683403E-2"/>
      </font>
    </dxf>
    <dxf>
      <font>
        <color theme="0" tint="-4.9989318521683403E-2"/>
      </font>
    </dxf>
    <dxf>
      <fill>
        <patternFill>
          <bgColor theme="8" tint="-0.249977111117893"/>
        </patternFill>
      </fill>
    </dxf>
    <dxf>
      <fill>
        <patternFill>
          <bgColor theme="8" tint="0.59999389629810485"/>
        </patternFill>
      </fill>
    </dxf>
    <dxf>
      <fill>
        <patternFill patternType="solid">
          <bgColor rgb="FF0070C0"/>
        </patternFill>
      </fill>
    </dxf>
    <dxf>
      <fill>
        <patternFill patternType="solid">
          <bgColor theme="8" tint="0.39997558519241921"/>
        </patternFill>
      </fill>
    </dxf>
    <dxf>
      <fill>
        <patternFill patternType="solid">
          <bgColor theme="8" tint="0.39997558519241921"/>
        </patternFill>
      </fill>
    </dxf>
    <dxf>
      <font>
        <color theme="0" tint="-4.9989318521683403E-2"/>
      </font>
    </dxf>
    <dxf>
      <font>
        <color theme="0" tint="-4.9989318521683403E-2"/>
      </font>
    </dxf>
    <dxf>
      <font>
        <color theme="0" tint="-4.9989318521683403E-2"/>
      </font>
    </dxf>
    <dxf>
      <font>
        <color theme="0" tint="-4.9989318521683403E-2"/>
      </font>
    </dxf>
    <dxf>
      <font>
        <color theme="0" tint="-4.9989318521683403E-2"/>
      </font>
    </dxf>
    <dxf>
      <font>
        <color theme="0" tint="-4.9989318521683403E-2"/>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numFmt numFmtId="164" formatCode="yyyy\-mm\-dd\ hh:mm:ss"/>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auto="1"/>
        </top>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8"/>
        </bottom>
        <vertical/>
        <horizontal/>
      </border>
    </dxf>
    <dxf>
      <font>
        <sz val="18"/>
        <color theme="1"/>
      </font>
      <fill>
        <gradientFill degree="90">
          <stop position="0">
            <color theme="1"/>
          </stop>
          <stop position="1">
            <color theme="4"/>
          </stop>
        </gradient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b/>
        <i val="0"/>
        <sz val="16"/>
        <color theme="1"/>
      </font>
      <fill>
        <gradientFill degree="90">
          <stop position="0">
            <color theme="8" tint="0.40000610370189521"/>
          </stop>
          <stop position="1">
            <color theme="8" tint="-0.25098422193060094"/>
          </stop>
        </gradientFill>
      </fill>
      <border>
        <left style="thin">
          <color theme="8"/>
        </left>
        <right style="thin">
          <color theme="8"/>
        </right>
        <top style="thin">
          <color theme="8"/>
        </top>
        <bottom style="thin">
          <color theme="8"/>
        </bottom>
        <vertical/>
        <horizontal/>
      </border>
    </dxf>
    <dxf>
      <font>
        <b/>
        <i val="0"/>
        <sz val="16"/>
        <color theme="1"/>
        <name val="Calibri"/>
        <family val="2"/>
        <scheme val="minor"/>
      </font>
      <fill>
        <gradientFill type="path" left="0.5" right="0.5" top="0.5" bottom="0.5">
          <stop position="0">
            <color theme="8" tint="0.80001220740379042"/>
          </stop>
          <stop position="1">
            <color theme="8" tint="0.59999389629810485"/>
          </stop>
        </gradientFill>
      </fill>
      <border>
        <left style="thin">
          <color theme="1"/>
        </left>
        <right style="thin">
          <color theme="1"/>
        </right>
        <top style="thin">
          <color theme="1"/>
        </top>
        <bottom style="thin">
          <color theme="1"/>
        </bottom>
      </border>
    </dxf>
  </dxfs>
  <tableStyles count="3" defaultTableStyle="TableStyleMedium9" defaultPivotStyle="PivotStyleLight16">
    <tableStyle name="Slicer Style 1" pivot="0" table="0" count="1" xr9:uid="{0EBCB0B4-D7D3-4D89-9223-735CEF0291A1}">
      <tableStyleElement type="wholeTable" dxfId="106"/>
    </tableStyle>
    <tableStyle name="SlicerStyleLight5 2" pivot="0" table="0" count="10" xr9:uid="{21FED381-35BA-4C1F-ADB7-10E3C6D01A88}">
      <tableStyleElement type="wholeTable" dxfId="105"/>
      <tableStyleElement type="headerRow" dxfId="104"/>
    </tableStyle>
    <tableStyle name="SlicerStyleLight5 3" pivot="0" table="0" count="10" xr9:uid="{27EF5096-A52A-4850-9F85-B006118EC6B8}">
      <tableStyleElement type="wholeTable" dxfId="103"/>
      <tableStyleElement type="headerRow" dxfId="10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800" b="1" i="0" u="none" strike="noStrike" kern="1200" baseline="0">
                <a:solidFill>
                  <a:schemeClr val="tx1">
                    <a:lumMod val="65000"/>
                    <a:lumOff val="35000"/>
                  </a:schemeClr>
                </a:solidFill>
                <a:latin typeface="+mn-lt"/>
                <a:ea typeface="+mn-ea"/>
                <a:cs typeface="+mn-cs"/>
              </a:defRPr>
            </a:pPr>
            <a:r>
              <a:rPr lang="en-US" sz="2800" b="1" baseline="0">
                <a:solidFill>
                  <a:schemeClr val="bg1"/>
                </a:solidFill>
              </a:rPr>
              <a:t> TRAFFIC CONDITION DISTRIBUTION</a:t>
            </a:r>
            <a:endParaRPr lang="en-US" sz="2800" b="1">
              <a:solidFill>
                <a:schemeClr val="bg1"/>
              </a:solidFill>
            </a:endParaRPr>
          </a:p>
        </c:rich>
      </c:tx>
      <c:layout>
        <c:manualLayout>
          <c:xMode val="edge"/>
          <c:yMode val="edge"/>
          <c:x val="0.2724521442495127"/>
          <c:y val="8.6043360433604339E-3"/>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786809960492904E-2"/>
          <c:y val="0.1016921845782694"/>
          <c:w val="0.83847242149125845"/>
          <c:h val="0.79092384681620775"/>
        </c:manualLayout>
      </c:layout>
      <c:barChart>
        <c:barDir val="col"/>
        <c:grouping val="clustered"/>
        <c:varyColors val="0"/>
        <c:ser>
          <c:idx val="0"/>
          <c:order val="0"/>
          <c:tx>
            <c:v>Total</c:v>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3"/>
              <c:layout>
                <c:manualLayout>
                  <c:x val="0"/>
                  <c:y val="1.49175256112331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21-4A50-87E5-B081418227F4}"/>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Congested</c:v>
              </c:pt>
              <c:pt idx="1">
                <c:v>High</c:v>
              </c:pt>
              <c:pt idx="2">
                <c:v>Low</c:v>
              </c:pt>
              <c:pt idx="3">
                <c:v>Medium</c:v>
              </c:pt>
            </c:strLit>
          </c:cat>
          <c:val>
            <c:numLit>
              <c:formatCode>General</c:formatCode>
              <c:ptCount val="4"/>
              <c:pt idx="0">
                <c:v>80</c:v>
              </c:pt>
              <c:pt idx="1">
                <c:v>97</c:v>
              </c:pt>
              <c:pt idx="2">
                <c:v>88</c:v>
              </c:pt>
              <c:pt idx="3">
                <c:v>235</c:v>
              </c:pt>
            </c:numLit>
          </c:val>
          <c:extLst>
            <c:ext xmlns:c16="http://schemas.microsoft.com/office/drawing/2014/chart" uri="{C3380CC4-5D6E-409C-BE32-E72D297353CC}">
              <c16:uniqueId val="{00000000-939C-43C1-B9A0-E0494307DEB0}"/>
            </c:ext>
          </c:extLst>
        </c:ser>
        <c:dLbls>
          <c:showLegendKey val="0"/>
          <c:showVal val="0"/>
          <c:showCatName val="0"/>
          <c:showSerName val="0"/>
          <c:showPercent val="0"/>
          <c:showBubbleSize val="0"/>
        </c:dLbls>
        <c:gapWidth val="100"/>
        <c:overlap val="-24"/>
        <c:axId val="407797551"/>
        <c:axId val="521818159"/>
      </c:barChart>
      <c:catAx>
        <c:axId val="4077975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300" b="0" i="0" u="none" strike="noStrike" kern="1200" baseline="0">
                <a:solidFill>
                  <a:schemeClr val="bg1"/>
                </a:solidFill>
                <a:latin typeface="+mn-lt"/>
                <a:ea typeface="+mn-ea"/>
                <a:cs typeface="+mn-cs"/>
              </a:defRPr>
            </a:pPr>
            <a:endParaRPr lang="en-US"/>
          </a:p>
        </c:txPr>
        <c:crossAx val="521818159"/>
        <c:crosses val="autoZero"/>
        <c:auto val="1"/>
        <c:lblAlgn val="ctr"/>
        <c:lblOffset val="100"/>
        <c:noMultiLvlLbl val="0"/>
      </c:catAx>
      <c:valAx>
        <c:axId val="52181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300" b="0" i="0" u="none" strike="noStrike" kern="1200" baseline="0">
                <a:ln>
                  <a:noFill/>
                </a:ln>
                <a:solidFill>
                  <a:schemeClr val="bg1"/>
                </a:solidFill>
                <a:latin typeface="+mn-lt"/>
                <a:ea typeface="+mn-ea"/>
                <a:cs typeface="+mn-cs"/>
              </a:defRPr>
            </a:pPr>
            <a:endParaRPr lang="en-US"/>
          </a:p>
        </c:txPr>
        <c:crossAx val="407797551"/>
        <c:crosses val="autoZero"/>
        <c:crossBetween val="between"/>
      </c:valAx>
      <c:spPr>
        <a:gradFill>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[MODULE 1 - TRAFFIC (AKSHIT)FINAL.xlsx]Pivot_Summary!PivotTable1</c:name>
    <c:fmtId val="9"/>
  </c:pivotSource>
  <c:chart>
    <c:title>
      <c:tx>
        <c:rich>
          <a:bodyPr rot="0" spcFirstLastPara="1" vertOverflow="ellipsis" vert="horz" wrap="square" anchor="ctr" anchorCtr="1"/>
          <a:lstStyle/>
          <a:p>
            <a:pPr>
              <a:defRPr sz="2800" b="1" i="0" u="none" strike="noStrike" kern="1200" baseline="0">
                <a:solidFill>
                  <a:schemeClr val="bg2"/>
                </a:solidFill>
                <a:latin typeface="+mn-lt"/>
                <a:ea typeface="+mn-ea"/>
                <a:cs typeface="+mn-cs"/>
              </a:defRPr>
            </a:pPr>
            <a:r>
              <a:rPr lang="en-US" sz="2800">
                <a:solidFill>
                  <a:schemeClr val="bg2"/>
                </a:solidFill>
              </a:rPr>
              <a:t>AVERAGE</a:t>
            </a:r>
            <a:r>
              <a:rPr lang="en-US" sz="2800" baseline="0">
                <a:solidFill>
                  <a:schemeClr val="bg2"/>
                </a:solidFill>
              </a:rPr>
              <a:t> SPEED BY LOCATION</a:t>
            </a:r>
            <a:endParaRPr lang="en-US" sz="2800">
              <a:solidFill>
                <a:schemeClr val="bg2"/>
              </a:solidFill>
            </a:endParaRPr>
          </a:p>
        </c:rich>
      </c:tx>
      <c:layout>
        <c:manualLayout>
          <c:xMode val="edge"/>
          <c:yMode val="edge"/>
          <c:x val="0.25114873939200155"/>
          <c:y val="1.2232617890514223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bg2"/>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solidFill>
                <a:schemeClr val="accent5">
                  <a:lumMod val="40000"/>
                  <a:lumOff val="60000"/>
                  <a:alpha val="95000"/>
                </a:schemeClr>
              </a:solid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8842557914698867E-3"/>
              <c:y val="5.1976243173513887E-3"/>
            </c:manualLayout>
          </c:layout>
          <c:spPr>
            <a:noFill/>
            <a:ln>
              <a:solidFill>
                <a:schemeClr val="accent5">
                  <a:lumMod val="40000"/>
                  <a:lumOff val="60000"/>
                  <a:alpha val="95000"/>
                </a:schemeClr>
              </a:solidFill>
            </a:ln>
            <a:effectLst/>
          </c:spPr>
          <c:txPr>
            <a:bodyPr rot="0" spcFirstLastPara="1" vertOverflow="ellipsis" vert="horz" wrap="square" lIns="38100" tIns="19050" rIns="38100" bIns="19050" anchor="ctr" anchorCtr="1">
              <a:noAutofit/>
            </a:bodyPr>
            <a:lstStyle/>
            <a:p>
              <a:pPr>
                <a:defRPr sz="2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401592749019233"/>
                  <c:h val="8.3536218028471526E-2"/>
                </c:manualLayout>
              </c15:layout>
            </c:ext>
          </c:extLst>
        </c:dLbl>
      </c:pivotFmt>
    </c:pivotFmts>
    <c:plotArea>
      <c:layout>
        <c:manualLayout>
          <c:layoutTarget val="inner"/>
          <c:xMode val="edge"/>
          <c:yMode val="edge"/>
          <c:x val="0.31123821985215633"/>
          <c:y val="9.6405082606910511E-2"/>
          <c:w val="0.6626317049645758"/>
          <c:h val="0.83173305552660448"/>
        </c:manualLayout>
      </c:layout>
      <c:barChart>
        <c:barDir val="bar"/>
        <c:grouping val="clustered"/>
        <c:varyColors val="0"/>
        <c:ser>
          <c:idx val="0"/>
          <c:order val="0"/>
          <c:tx>
            <c:strRef>
              <c:f>Pivot_Summary!$B$1</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3"/>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9B3C-4F6F-BF61-9268E0856EF7}"/>
              </c:ext>
            </c:extLst>
          </c:dPt>
          <c:dLbls>
            <c:dLbl>
              <c:idx val="3"/>
              <c:layout>
                <c:manualLayout>
                  <c:x val="-4.8842557914698867E-3"/>
                  <c:y val="5.1976243173513887E-3"/>
                </c:manualLayout>
              </c:layout>
              <c:spPr>
                <a:noFill/>
                <a:ln>
                  <a:solidFill>
                    <a:schemeClr val="accent5">
                      <a:lumMod val="40000"/>
                      <a:lumOff val="60000"/>
                      <a:alpha val="95000"/>
                    </a:schemeClr>
                  </a:solidFill>
                </a:ln>
                <a:effectLst/>
              </c:spPr>
              <c:txPr>
                <a:bodyPr rot="0" spcFirstLastPara="1" vertOverflow="ellipsis" vert="horz" wrap="square" lIns="38100" tIns="19050" rIns="38100" bIns="19050" anchor="ctr" anchorCtr="1">
                  <a:noAutofit/>
                </a:bodyPr>
                <a:lstStyle/>
                <a:p>
                  <a:pPr>
                    <a:defRPr sz="2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401592749019233"/>
                      <c:h val="8.3536218028471526E-2"/>
                    </c:manualLayout>
                  </c15:layout>
                </c:ext>
                <c:ext xmlns:c16="http://schemas.microsoft.com/office/drawing/2014/chart" uri="{C3380CC4-5D6E-409C-BE32-E72D297353CC}">
                  <c16:uniqueId val="{00000000-9B3C-4F6F-BF61-9268E0856EF7}"/>
                </c:ext>
              </c:extLst>
            </c:dLbl>
            <c:spPr>
              <a:noFill/>
              <a:ln>
                <a:solidFill>
                  <a:schemeClr val="accent5">
                    <a:lumMod val="40000"/>
                    <a:lumOff val="60000"/>
                    <a:alpha val="95000"/>
                  </a:schemeClr>
                </a:solid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Pivot_Summary!$A$2:$A$10</c:f>
              <c:strCache>
                <c:ptCount val="8"/>
                <c:pt idx="0">
                  <c:v>AIIMS Crossing</c:v>
                </c:pt>
                <c:pt idx="1">
                  <c:v>Chandni Chowk</c:v>
                </c:pt>
                <c:pt idx="2">
                  <c:v>Connaught Place</c:v>
                </c:pt>
                <c:pt idx="3">
                  <c:v>DND Flyway</c:v>
                </c:pt>
                <c:pt idx="4">
                  <c:v>India Gate Circle</c:v>
                </c:pt>
                <c:pt idx="5">
                  <c:v>NH8 (near Airport)</c:v>
                </c:pt>
                <c:pt idx="6">
                  <c:v>Outer Ring Road (IIT Delhi)</c:v>
                </c:pt>
                <c:pt idx="7">
                  <c:v>Rajiv Chowk Metro Area</c:v>
                </c:pt>
              </c:strCache>
            </c:strRef>
          </c:cat>
          <c:val>
            <c:numRef>
              <c:f>Pivot_Summary!$B$2:$B$10</c:f>
              <c:numCache>
                <c:formatCode>0.00</c:formatCode>
                <c:ptCount val="8"/>
                <c:pt idx="0">
                  <c:v>26.193548387096776</c:v>
                </c:pt>
                <c:pt idx="1">
                  <c:v>18.526315789473685</c:v>
                </c:pt>
                <c:pt idx="2">
                  <c:v>28.458333333333332</c:v>
                </c:pt>
                <c:pt idx="3">
                  <c:v>54.363636363636367</c:v>
                </c:pt>
                <c:pt idx="4">
                  <c:v>26.64516129032258</c:v>
                </c:pt>
                <c:pt idx="5">
                  <c:v>49.4</c:v>
                </c:pt>
                <c:pt idx="6">
                  <c:v>23.4</c:v>
                </c:pt>
                <c:pt idx="7">
                  <c:v>25.826086956521738</c:v>
                </c:pt>
              </c:numCache>
            </c:numRef>
          </c:val>
          <c:extLst>
            <c:ext xmlns:c16="http://schemas.microsoft.com/office/drawing/2014/chart" uri="{C3380CC4-5D6E-409C-BE32-E72D297353CC}">
              <c16:uniqueId val="{00000000-27B4-4729-B977-7BB1501D9E40}"/>
            </c:ext>
          </c:extLst>
        </c:ser>
        <c:dLbls>
          <c:dLblPos val="outEnd"/>
          <c:showLegendKey val="0"/>
          <c:showVal val="1"/>
          <c:showCatName val="0"/>
          <c:showSerName val="0"/>
          <c:showPercent val="0"/>
          <c:showBubbleSize val="0"/>
        </c:dLbls>
        <c:gapWidth val="115"/>
        <c:overlap val="-20"/>
        <c:axId val="1472807919"/>
        <c:axId val="1990335727"/>
      </c:barChart>
      <c:catAx>
        <c:axId val="14728079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900" b="0" i="0" u="none" strike="noStrike" kern="1200" baseline="0">
                <a:solidFill>
                  <a:schemeClr val="bg2"/>
                </a:solidFill>
                <a:latin typeface="+mn-lt"/>
                <a:ea typeface="+mn-ea"/>
                <a:cs typeface="+mn-cs"/>
              </a:defRPr>
            </a:pPr>
            <a:endParaRPr lang="en-US"/>
          </a:p>
        </c:txPr>
        <c:crossAx val="1990335727"/>
        <c:crosses val="autoZero"/>
        <c:auto val="1"/>
        <c:lblAlgn val="ctr"/>
        <c:lblOffset val="100"/>
        <c:noMultiLvlLbl val="0"/>
      </c:catAx>
      <c:valAx>
        <c:axId val="199033572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900" b="0" i="0" u="none" strike="noStrike" kern="1200" baseline="0">
                <a:solidFill>
                  <a:schemeClr val="bg1"/>
                </a:solidFill>
                <a:latin typeface="+mn-lt"/>
                <a:ea typeface="+mn-ea"/>
                <a:cs typeface="+mn-cs"/>
              </a:defRPr>
            </a:pPr>
            <a:endParaRPr lang="en-US"/>
          </a:p>
        </c:txPr>
        <c:crossAx val="1472807919"/>
        <c:crosses val="autoZero"/>
        <c:crossBetween val="between"/>
      </c:valAx>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[MODULE 1 - TRAFFIC (AKSHIT)FINAL.xlsx]Pivot_Summary!PivotTable4</c:name>
    <c:fmtId val="24"/>
  </c:pivotSource>
  <c:chart>
    <c:title>
      <c:tx>
        <c:rich>
          <a:bodyPr rot="0" spcFirstLastPara="1" vertOverflow="ellipsis" vert="horz" wrap="square" anchor="ctr" anchorCtr="1"/>
          <a:lstStyle/>
          <a:p>
            <a:pPr>
              <a:defRPr sz="2800" b="1" i="0" u="none" strike="noStrike" kern="1200" baseline="0">
                <a:solidFill>
                  <a:schemeClr val="bg1"/>
                </a:solidFill>
                <a:latin typeface="+mn-lt"/>
                <a:ea typeface="+mn-ea"/>
                <a:cs typeface="+mn-cs"/>
              </a:defRPr>
            </a:pPr>
            <a:r>
              <a:rPr lang="en-US" sz="2800"/>
              <a:t>AVERAGE TRAVEL TIME BY LOCATION</a:t>
            </a:r>
          </a:p>
        </c:rich>
      </c:tx>
      <c:layout>
        <c:manualLayout>
          <c:xMode val="edge"/>
          <c:yMode val="edge"/>
          <c:x val="0.25161882847385986"/>
          <c:y val="1.6862602843932272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779587048583986E-2"/>
          <c:y val="9.1795639957708994E-2"/>
          <c:w val="0.95716618944676335"/>
          <c:h val="0.86175014597107846"/>
        </c:manualLayout>
      </c:layout>
      <c:barChart>
        <c:barDir val="col"/>
        <c:grouping val="clustered"/>
        <c:varyColors val="0"/>
        <c:ser>
          <c:idx val="0"/>
          <c:order val="0"/>
          <c:tx>
            <c:strRef>
              <c:f>Pivot_Summary!$H$1</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Pivot_Summary!$G$2:$G$10</c:f>
              <c:strCache>
                <c:ptCount val="8"/>
                <c:pt idx="0">
                  <c:v>AIIMS Crossing</c:v>
                </c:pt>
                <c:pt idx="1">
                  <c:v>Chandni Chowk</c:v>
                </c:pt>
                <c:pt idx="2">
                  <c:v>Connaught Place</c:v>
                </c:pt>
                <c:pt idx="3">
                  <c:v>DND Flyway</c:v>
                </c:pt>
                <c:pt idx="4">
                  <c:v>India Gate Circle</c:v>
                </c:pt>
                <c:pt idx="5">
                  <c:v>NH8 (near Airport)</c:v>
                </c:pt>
                <c:pt idx="6">
                  <c:v>Outer Ring Road (IIT Delhi)</c:v>
                </c:pt>
                <c:pt idx="7">
                  <c:v>Rajiv Chowk Metro Area</c:v>
                </c:pt>
              </c:strCache>
            </c:strRef>
          </c:cat>
          <c:val>
            <c:numRef>
              <c:f>Pivot_Summary!$H$2:$H$10</c:f>
              <c:numCache>
                <c:formatCode>0.00</c:formatCode>
                <c:ptCount val="8"/>
                <c:pt idx="0">
                  <c:v>13.458709677419352</c:v>
                </c:pt>
                <c:pt idx="1">
                  <c:v>24.94</c:v>
                </c:pt>
                <c:pt idx="2">
                  <c:v>13.259583333333332</c:v>
                </c:pt>
                <c:pt idx="3">
                  <c:v>5.9409090909090905</c:v>
                </c:pt>
                <c:pt idx="4">
                  <c:v>13.904516129032254</c:v>
                </c:pt>
                <c:pt idx="5">
                  <c:v>12.420000000000002</c:v>
                </c:pt>
                <c:pt idx="6">
                  <c:v>16.710666666666665</c:v>
                </c:pt>
                <c:pt idx="7">
                  <c:v>14.890869565217391</c:v>
                </c:pt>
              </c:numCache>
            </c:numRef>
          </c:val>
          <c:extLst>
            <c:ext xmlns:c16="http://schemas.microsoft.com/office/drawing/2014/chart" uri="{C3380CC4-5D6E-409C-BE32-E72D297353CC}">
              <c16:uniqueId val="{00000000-3BF8-4E11-91DF-370BC552D331}"/>
            </c:ext>
          </c:extLst>
        </c:ser>
        <c:dLbls>
          <c:showLegendKey val="0"/>
          <c:showVal val="0"/>
          <c:showCatName val="0"/>
          <c:showSerName val="0"/>
          <c:showPercent val="0"/>
          <c:showBubbleSize val="0"/>
        </c:dLbls>
        <c:gapWidth val="100"/>
        <c:overlap val="-24"/>
        <c:axId val="907649727"/>
        <c:axId val="521713039"/>
      </c:barChart>
      <c:catAx>
        <c:axId val="9076497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chemeClr val="bg1"/>
                </a:solidFill>
                <a:latin typeface="+mn-lt"/>
                <a:ea typeface="+mn-ea"/>
                <a:cs typeface="+mn-cs"/>
              </a:defRPr>
            </a:pPr>
            <a:endParaRPr lang="en-US"/>
          </a:p>
        </c:txPr>
        <c:crossAx val="521713039"/>
        <c:crosses val="autoZero"/>
        <c:auto val="1"/>
        <c:lblAlgn val="ctr"/>
        <c:lblOffset val="100"/>
        <c:noMultiLvlLbl val="0"/>
      </c:catAx>
      <c:valAx>
        <c:axId val="521713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907649727"/>
        <c:crosses val="autoZero"/>
        <c:crossBetween val="between"/>
      </c:valAx>
      <c:spPr>
        <a:solidFill>
          <a:schemeClr val="accent5">
            <a:lumMod val="40000"/>
            <a:lumOff val="60000"/>
          </a:schemeClr>
        </a:solidFill>
        <a:ln>
          <a:solidFill>
            <a:schemeClr val="accent5">
              <a:lumMod val="40000"/>
              <a:lumOff val="60000"/>
            </a:schemeClr>
          </a:solid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accent5">
          <a:lumMod val="40000"/>
          <a:lumOff val="60000"/>
        </a:schemeClr>
      </a:solidFill>
      <a:round/>
    </a:ln>
    <a:effectLst/>
  </c:spPr>
  <c:txPr>
    <a:bodyPr/>
    <a:lstStyle/>
    <a:p>
      <a:pPr>
        <a:defRPr sz="14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[MODULE 1 - TRAFFIC (AKSHIT)FINAL.xlsx]Pivot_Summary!PivotTable2</c:name>
    <c:fmtId val="12"/>
  </c:pivotSource>
  <c:chart>
    <c:title>
      <c:tx>
        <c:rich>
          <a:bodyPr rot="0" spcFirstLastPara="1" vertOverflow="ellipsis" vert="horz" wrap="square" anchor="ctr" anchorCtr="1"/>
          <a:lstStyle/>
          <a:p>
            <a:pPr>
              <a:defRPr sz="2800" b="1" i="0" u="none" strike="noStrike" kern="1200" cap="all" baseline="0">
                <a:solidFill>
                  <a:schemeClr val="bg2"/>
                </a:solidFill>
                <a:effectLst>
                  <a:glow rad="127000">
                    <a:schemeClr val="tx1"/>
                  </a:glow>
                </a:effectLst>
                <a:latin typeface="+mn-lt"/>
                <a:ea typeface="+mn-ea"/>
                <a:cs typeface="+mn-cs"/>
              </a:defRPr>
            </a:pPr>
            <a:r>
              <a:rPr lang="en-IN" sz="2800"/>
              <a:t>Vehicle Type Distribution</a:t>
            </a:r>
            <a:endParaRPr lang="en-US" sz="2800"/>
          </a:p>
        </c:rich>
      </c:tx>
      <c:layout>
        <c:manualLayout>
          <c:xMode val="edge"/>
          <c:yMode val="edge"/>
          <c:x val="0.24710187378749082"/>
          <c:y val="2.8165337251321646E-2"/>
        </c:manualLayout>
      </c:layout>
      <c:overlay val="0"/>
      <c:spPr>
        <a:noFill/>
        <a:ln>
          <a:noFill/>
        </a:ln>
        <a:effectLst/>
      </c:spPr>
      <c:txPr>
        <a:bodyPr rot="0" spcFirstLastPara="1" vertOverflow="ellipsis" vert="horz" wrap="square" anchor="ctr" anchorCtr="1"/>
        <a:lstStyle/>
        <a:p>
          <a:pPr>
            <a:defRPr sz="2800" b="1" i="0" u="none" strike="noStrike" kern="1200" cap="all" baseline="0">
              <a:solidFill>
                <a:schemeClr val="bg2"/>
              </a:solidFill>
              <a:effectLst>
                <a:glow rad="127000">
                  <a:schemeClr val="tx1"/>
                </a:glow>
              </a:effectLst>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marker>
          <c:symbol val="none"/>
        </c:marker>
        <c:dLbl>
          <c:idx val="0"/>
          <c:spPr>
            <a:noFill/>
            <a:ln>
              <a:noFill/>
            </a:ln>
            <a:effectLst/>
          </c:spPr>
          <c:txPr>
            <a:bodyPr rot="0" spcFirstLastPara="1" vertOverflow="ellipsis" vert="horz" wrap="square" anchor="ctr" anchorCtr="1"/>
            <a:lstStyle/>
            <a:p>
              <a:pPr>
                <a:defRPr sz="1400" b="1" i="0" u="none" strike="noStrike" kern="1200" spc="0" baseline="0">
                  <a:solidFill>
                    <a:schemeClr val="bg2"/>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dLbl>
          <c:idx val="0"/>
          <c:spPr>
            <a:noFill/>
            <a:ln>
              <a:noFill/>
            </a:ln>
            <a:effectLst/>
          </c:spPr>
          <c:txPr>
            <a:bodyPr rot="0" spcFirstLastPara="1" vertOverflow="ellipsis" vert="horz" wrap="square" anchor="ctr" anchorCtr="1"/>
            <a:lstStyle/>
            <a:p>
              <a:pPr>
                <a:defRPr sz="1400" b="1" i="0" u="none" strike="noStrike" kern="1200" spc="0" baseline="0">
                  <a:solidFill>
                    <a:schemeClr val="bg2"/>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dLbl>
          <c:idx val="0"/>
          <c:spPr>
            <a:noFill/>
            <a:ln>
              <a:noFill/>
            </a:ln>
            <a:effectLst/>
          </c:spPr>
          <c:txPr>
            <a:bodyPr rot="0" spcFirstLastPara="1" vertOverflow="ellipsis" vert="horz" wrap="square" anchor="ctr" anchorCtr="1"/>
            <a:lstStyle/>
            <a:p>
              <a:pPr>
                <a:defRPr sz="1400" b="1" i="0" u="none" strike="noStrike" kern="1200" spc="0" baseline="0">
                  <a:solidFill>
                    <a:schemeClr val="bg2"/>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dLbl>
          <c:idx val="0"/>
          <c:spPr>
            <a:noFill/>
            <a:ln>
              <a:noFill/>
            </a:ln>
            <a:effectLst/>
          </c:spPr>
          <c:txPr>
            <a:bodyPr rot="0" spcFirstLastPara="1" vertOverflow="ellipsis" vert="horz" wrap="square" anchor="ctr" anchorCtr="1"/>
            <a:lstStyle/>
            <a:p>
              <a:pPr>
                <a:defRPr sz="1400" b="1" i="0" u="none" strike="noStrike" kern="1200" spc="0" baseline="0">
                  <a:solidFill>
                    <a:schemeClr val="bg2"/>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dLbl>
          <c:idx val="0"/>
          <c:spPr>
            <a:noFill/>
            <a:ln>
              <a:noFill/>
            </a:ln>
            <a:effectLst/>
          </c:spPr>
          <c:txPr>
            <a:bodyPr rot="0" spcFirstLastPara="1" vertOverflow="ellipsis" vert="horz" wrap="square" anchor="ctr" anchorCtr="1"/>
            <a:lstStyle/>
            <a:p>
              <a:pPr>
                <a:defRPr sz="1400" b="1" i="0" u="none" strike="noStrike" kern="1200" spc="0" baseline="0">
                  <a:solidFill>
                    <a:schemeClr val="bg2"/>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dLbl>
          <c:idx val="0"/>
          <c:spPr>
            <a:noFill/>
            <a:ln>
              <a:noFill/>
            </a:ln>
            <a:effectLst/>
          </c:spPr>
          <c:txPr>
            <a:bodyPr rot="0" spcFirstLastPara="1" vertOverflow="ellipsis" vert="horz" wrap="square" anchor="ctr" anchorCtr="1"/>
            <a:lstStyle/>
            <a:p>
              <a:pPr>
                <a:defRPr sz="1400" b="1" i="0" u="none" strike="noStrike" kern="1200" spc="0" baseline="0">
                  <a:solidFill>
                    <a:schemeClr val="bg2"/>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marker>
          <c:symbol val="none"/>
        </c:marker>
        <c:dLbl>
          <c:idx val="0"/>
          <c:spPr>
            <a:noFill/>
            <a:ln>
              <a:noFill/>
            </a:ln>
            <a:effectLst/>
          </c:spPr>
          <c:txPr>
            <a:bodyPr rot="0" spcFirstLastPara="1" vertOverflow="ellipsis" vert="horz" wrap="square" anchor="ctr" anchorCtr="1"/>
            <a:lstStyle/>
            <a:p>
              <a:pPr>
                <a:defRPr sz="1400" b="1" i="0" u="none" strike="noStrike" kern="1200" spc="0" baseline="0">
                  <a:solidFill>
                    <a:schemeClr val="bg2"/>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dLbl>
          <c:idx val="0"/>
          <c:spPr>
            <a:noFill/>
            <a:ln>
              <a:noFill/>
            </a:ln>
            <a:effectLst/>
          </c:spPr>
          <c:txPr>
            <a:bodyPr rot="0" spcFirstLastPara="1" vertOverflow="ellipsis" vert="horz" wrap="square" anchor="ctr" anchorCtr="1"/>
            <a:lstStyle/>
            <a:p>
              <a:pPr>
                <a:defRPr sz="1400" b="1" i="0" u="none" strike="noStrike" kern="1200" spc="0" baseline="0">
                  <a:solidFill>
                    <a:schemeClr val="bg2"/>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dLbl>
          <c:idx val="0"/>
          <c:spPr>
            <a:noFill/>
            <a:ln>
              <a:noFill/>
            </a:ln>
            <a:effectLst/>
          </c:spPr>
          <c:txPr>
            <a:bodyPr rot="0" spcFirstLastPara="1" vertOverflow="ellipsis" vert="horz" wrap="square" anchor="ctr" anchorCtr="1"/>
            <a:lstStyle/>
            <a:p>
              <a:pPr>
                <a:defRPr sz="1400" b="1" i="0" u="none" strike="noStrike" kern="1200" spc="0" baseline="0">
                  <a:solidFill>
                    <a:schemeClr val="bg2"/>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dLbl>
          <c:idx val="0"/>
          <c:spPr>
            <a:noFill/>
            <a:ln>
              <a:noFill/>
            </a:ln>
            <a:effectLst/>
          </c:spPr>
          <c:txPr>
            <a:bodyPr rot="0" spcFirstLastPara="1" vertOverflow="ellipsis" vert="horz" wrap="square" anchor="ctr" anchorCtr="1"/>
            <a:lstStyle/>
            <a:p>
              <a:pPr>
                <a:defRPr sz="1400" b="1" i="0" u="none" strike="noStrike" kern="1200" spc="0" baseline="0">
                  <a:solidFill>
                    <a:schemeClr val="bg2"/>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dLbl>
          <c:idx val="0"/>
          <c:spPr>
            <a:noFill/>
            <a:ln>
              <a:noFill/>
            </a:ln>
            <a:effectLst/>
          </c:spPr>
          <c:txPr>
            <a:bodyPr rot="0" spcFirstLastPara="1" vertOverflow="ellipsis" vert="horz" wrap="square" anchor="ctr" anchorCtr="1"/>
            <a:lstStyle/>
            <a:p>
              <a:pPr>
                <a:defRPr sz="1400" b="1" i="0" u="none" strike="noStrike" kern="1200" spc="0" baseline="0">
                  <a:solidFill>
                    <a:schemeClr val="bg2"/>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dLbl>
          <c:idx val="0"/>
          <c:spPr>
            <a:noFill/>
            <a:ln>
              <a:noFill/>
            </a:ln>
            <a:effectLst/>
          </c:spPr>
          <c:txPr>
            <a:bodyPr rot="0" spcFirstLastPara="1" vertOverflow="ellipsis" vert="horz" wrap="square" anchor="ctr" anchorCtr="1"/>
            <a:lstStyle/>
            <a:p>
              <a:pPr>
                <a:defRPr sz="1400" b="1" i="0" u="none" strike="noStrike" kern="1200" spc="0" baseline="0">
                  <a:solidFill>
                    <a:schemeClr val="bg2"/>
                  </a:solidFill>
                  <a:effectLst>
                    <a:glow rad="127000">
                      <a:schemeClr val="tx1"/>
                    </a:glo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anchor="ctr" anchorCtr="1"/>
            <a:lstStyle/>
            <a:p>
              <a:pPr>
                <a:defRPr sz="2000" b="1" i="0" u="none" strike="noStrike" kern="1200" spc="0" baseline="0">
                  <a:solidFill>
                    <a:schemeClr val="bg1"/>
                  </a:solidFill>
                  <a:effectLst>
                    <a:glow rad="127000">
                      <a:schemeClr val="tx1"/>
                    </a:glo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5">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dLbl>
          <c:idx val="0"/>
          <c:layout>
            <c:manualLayout>
              <c:x val="-0.12457865282689332"/>
              <c:y val="0.1179594428610802"/>
            </c:manualLayout>
          </c:layout>
          <c:spPr>
            <a:noFill/>
            <a:ln>
              <a:noFill/>
            </a:ln>
            <a:effectLst/>
          </c:spPr>
          <c:txPr>
            <a:bodyPr rot="0" spcFirstLastPara="1" vertOverflow="ellipsis" vert="horz" wrap="square" anchor="ctr" anchorCtr="1"/>
            <a:lstStyle/>
            <a:p>
              <a:pPr>
                <a:defRPr sz="2000" b="1" i="0" u="none" strike="noStrike" kern="1200" spc="0" baseline="0">
                  <a:solidFill>
                    <a:schemeClr val="bg1"/>
                  </a:solidFill>
                  <a:effectLst>
                    <a:glow rad="127000">
                      <a:schemeClr val="tx1"/>
                    </a:glo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905653152540651"/>
                  <c:h val="0.14081294665611555"/>
                </c:manualLayout>
              </c15:layout>
            </c:ext>
          </c:extLst>
        </c:dLbl>
      </c:pivotFmt>
      <c:pivotFmt>
        <c:idx val="26"/>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dLbl>
          <c:idx val="0"/>
          <c:layout>
            <c:manualLayout>
              <c:x val="-0.21910083738401165"/>
              <c:y val="-0.12719797021681509"/>
            </c:manualLayout>
          </c:layout>
          <c:spPr>
            <a:noFill/>
            <a:ln>
              <a:noFill/>
            </a:ln>
            <a:effectLst/>
          </c:spPr>
          <c:txPr>
            <a:bodyPr rot="0" spcFirstLastPara="1" vertOverflow="ellipsis" vert="horz" wrap="square" anchor="ctr" anchorCtr="1"/>
            <a:lstStyle/>
            <a:p>
              <a:pPr>
                <a:defRPr sz="2000" b="1" i="0" u="none" strike="noStrike" kern="1200" spc="0" baseline="0">
                  <a:solidFill>
                    <a:schemeClr val="bg1"/>
                  </a:solidFill>
                  <a:effectLst>
                    <a:glow rad="127000">
                      <a:schemeClr val="tx1"/>
                    </a:glo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30585804897386"/>
                  <c:h val="9.8793559733487218E-2"/>
                </c:manualLayout>
              </c15:layout>
            </c:ext>
          </c:extLst>
        </c:dLbl>
      </c:pivotFmt>
      <c:pivotFmt>
        <c:idx val="2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dLbl>
          <c:idx val="0"/>
          <c:spPr>
            <a:noFill/>
            <a:ln>
              <a:noFill/>
            </a:ln>
            <a:effectLst/>
          </c:spPr>
          <c:txPr>
            <a:bodyPr rot="0" spcFirstLastPara="1" vertOverflow="ellipsis" vert="horz" wrap="square" anchor="ctr" anchorCtr="1"/>
            <a:lstStyle/>
            <a:p>
              <a:pPr>
                <a:defRPr sz="2000" b="1" i="0" u="none" strike="noStrike" kern="1200" spc="0" baseline="0">
                  <a:solidFill>
                    <a:schemeClr val="bg1"/>
                  </a:solidFill>
                  <a:effectLst>
                    <a:glow rad="127000">
                      <a:schemeClr val="tx1"/>
                    </a:glo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2165442852812622"/>
                  <c:h val="0.18305014181259921"/>
                </c:manualLayout>
              </c15:layout>
            </c:ext>
          </c:extLst>
        </c:dLbl>
      </c:pivotFmt>
      <c:pivotFmt>
        <c:idx val="28"/>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dLbl>
          <c:idx val="0"/>
          <c:layout>
            <c:manualLayout>
              <c:x val="0.14914822271634465"/>
              <c:y val="-6.3447858015540648E-2"/>
            </c:manualLayout>
          </c:layout>
          <c:spPr>
            <a:noFill/>
            <a:ln>
              <a:noFill/>
            </a:ln>
            <a:effectLst/>
          </c:spPr>
          <c:txPr>
            <a:bodyPr rot="0" spcFirstLastPara="1" vertOverflow="ellipsis" vert="horz" wrap="square" anchor="ctr" anchorCtr="1"/>
            <a:lstStyle/>
            <a:p>
              <a:pPr>
                <a:defRPr sz="2000" b="1" i="0" u="none" strike="noStrike" kern="1200" spc="0" baseline="0">
                  <a:solidFill>
                    <a:schemeClr val="bg1"/>
                  </a:solidFill>
                  <a:effectLst>
                    <a:glow rad="127000">
                      <a:schemeClr val="tx1"/>
                    </a:glo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155861433477045"/>
                  <c:h val="0.15669075363485666"/>
                </c:manualLayout>
              </c15:layout>
            </c:ext>
          </c:extLst>
        </c:dLbl>
      </c:pivotFmt>
      <c:pivotFmt>
        <c:idx val="29"/>
        <c:spPr>
          <a:solidFill>
            <a:schemeClr val="accent5">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dLbl>
          <c:idx val="0"/>
          <c:layout>
            <c:manualLayout>
              <c:x val="0.12314869529877798"/>
              <c:y val="0.14175532309878283"/>
            </c:manualLayout>
          </c:layout>
          <c:spPr>
            <a:noFill/>
            <a:ln>
              <a:noFill/>
            </a:ln>
            <a:effectLst/>
          </c:spPr>
          <c:txPr>
            <a:bodyPr rot="0" spcFirstLastPara="1" vertOverflow="ellipsis" vert="horz" wrap="square" anchor="ctr" anchorCtr="1"/>
            <a:lstStyle/>
            <a:p>
              <a:pPr>
                <a:defRPr sz="2000" b="1" i="0" u="none" strike="noStrike" kern="1200" spc="0" baseline="0">
                  <a:solidFill>
                    <a:schemeClr val="bg1"/>
                  </a:solidFill>
                  <a:effectLst>
                    <a:glow rad="127000">
                      <a:schemeClr val="tx1"/>
                    </a:glo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5916375576233999"/>
                  <c:h val="0.15214968920617084"/>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0633225657829573E-4"/>
          <c:y val="0.16718259003531158"/>
          <c:w val="0.82276069323239254"/>
          <c:h val="0.73092766319717883"/>
        </c:manualLayout>
      </c:layout>
      <c:pie3DChart>
        <c:varyColors val="1"/>
        <c:ser>
          <c:idx val="0"/>
          <c:order val="0"/>
          <c:tx>
            <c:strRef>
              <c:f>Pivot_Summary!$D$1</c:f>
              <c:strCache>
                <c:ptCount val="1"/>
                <c:pt idx="0">
                  <c:v>Total</c:v>
                </c:pt>
              </c:strCache>
            </c:strRef>
          </c:tx>
          <c:dPt>
            <c:idx val="0"/>
            <c:bubble3D val="0"/>
            <c:spPr>
              <a:solidFill>
                <a:schemeClr val="accent5">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extLst>
              <c:ext xmlns:c16="http://schemas.microsoft.com/office/drawing/2014/chart" uri="{C3380CC4-5D6E-409C-BE32-E72D297353CC}">
                <c16:uniqueId val="{00000001-CC3F-4E09-8D46-8FE0E753209C}"/>
              </c:ext>
            </c:extLst>
          </c:dPt>
          <c:dPt>
            <c:idx val="1"/>
            <c:bubble3D val="0"/>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extLst>
              <c:ext xmlns:c16="http://schemas.microsoft.com/office/drawing/2014/chart" uri="{C3380CC4-5D6E-409C-BE32-E72D297353CC}">
                <c16:uniqueId val="{00000003-CC3F-4E09-8D46-8FE0E753209C}"/>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extLst>
              <c:ext xmlns:c16="http://schemas.microsoft.com/office/drawing/2014/chart" uri="{C3380CC4-5D6E-409C-BE32-E72D297353CC}">
                <c16:uniqueId val="{00000005-CC3F-4E09-8D46-8FE0E753209C}"/>
              </c:ext>
            </c:extLst>
          </c:dPt>
          <c:dPt>
            <c:idx val="3"/>
            <c:bubble3D val="0"/>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extLst>
              <c:ext xmlns:c16="http://schemas.microsoft.com/office/drawing/2014/chart" uri="{C3380CC4-5D6E-409C-BE32-E72D297353CC}">
                <c16:uniqueId val="{00000007-CC3F-4E09-8D46-8FE0E753209C}"/>
              </c:ext>
            </c:extLst>
          </c:dPt>
          <c:dPt>
            <c:idx val="4"/>
            <c:bubble3D val="0"/>
            <c:spPr>
              <a:solidFill>
                <a:schemeClr val="accent5">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5">
                    <a:lumMod val="40000"/>
                    <a:lumOff val="60000"/>
                  </a:schemeClr>
                </a:contourClr>
              </a:sp3d>
            </c:spPr>
            <c:extLst>
              <c:ext xmlns:c16="http://schemas.microsoft.com/office/drawing/2014/chart" uri="{C3380CC4-5D6E-409C-BE32-E72D297353CC}">
                <c16:uniqueId val="{00000009-CC3F-4E09-8D46-8FE0E753209C}"/>
              </c:ext>
            </c:extLst>
          </c:dPt>
          <c:dLbls>
            <c:dLbl>
              <c:idx val="0"/>
              <c:layout>
                <c:manualLayout>
                  <c:x val="-0.12457865282689332"/>
                  <c:y val="0.1179594428610802"/>
                </c:manualLayout>
              </c:layout>
              <c:spPr>
                <a:noFill/>
                <a:ln>
                  <a:noFill/>
                </a:ln>
                <a:effectLst/>
              </c:spPr>
              <c:txPr>
                <a:bodyPr rot="0" spcFirstLastPara="1" vertOverflow="ellipsis" vert="horz" wrap="square" anchor="ctr" anchorCtr="1"/>
                <a:lstStyle/>
                <a:p>
                  <a:pPr>
                    <a:defRPr sz="2000" b="1" i="0" u="none" strike="noStrike" kern="1200" spc="0" baseline="0">
                      <a:solidFill>
                        <a:schemeClr val="bg1"/>
                      </a:solidFill>
                      <a:effectLst>
                        <a:glow rad="127000">
                          <a:schemeClr val="tx1"/>
                        </a:glo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905653152540651"/>
                      <c:h val="0.14081294665611555"/>
                    </c:manualLayout>
                  </c15:layout>
                </c:ext>
                <c:ext xmlns:c16="http://schemas.microsoft.com/office/drawing/2014/chart" uri="{C3380CC4-5D6E-409C-BE32-E72D297353CC}">
                  <c16:uniqueId val="{00000001-CC3F-4E09-8D46-8FE0E753209C}"/>
                </c:ext>
              </c:extLst>
            </c:dLbl>
            <c:dLbl>
              <c:idx val="1"/>
              <c:layout>
                <c:manualLayout>
                  <c:x val="-0.21910083738401165"/>
                  <c:y val="-0.12719797021681509"/>
                </c:manualLayout>
              </c:layout>
              <c:spPr>
                <a:noFill/>
                <a:ln>
                  <a:noFill/>
                </a:ln>
                <a:effectLst/>
              </c:spPr>
              <c:txPr>
                <a:bodyPr rot="0" spcFirstLastPara="1" vertOverflow="ellipsis" vert="horz" wrap="square" anchor="ctr" anchorCtr="1"/>
                <a:lstStyle/>
                <a:p>
                  <a:pPr>
                    <a:defRPr sz="2000" b="1" i="0" u="none" strike="noStrike" kern="1200" spc="0" baseline="0">
                      <a:solidFill>
                        <a:schemeClr val="bg1"/>
                      </a:solidFill>
                      <a:effectLst>
                        <a:glow rad="127000">
                          <a:schemeClr val="tx1"/>
                        </a:glo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30585804897386"/>
                      <c:h val="9.8793559733487218E-2"/>
                    </c:manualLayout>
                  </c15:layout>
                </c:ext>
                <c:ext xmlns:c16="http://schemas.microsoft.com/office/drawing/2014/chart" uri="{C3380CC4-5D6E-409C-BE32-E72D297353CC}">
                  <c16:uniqueId val="{00000003-CC3F-4E09-8D46-8FE0E753209C}"/>
                </c:ext>
              </c:extLst>
            </c:dLbl>
            <c:dLbl>
              <c:idx val="2"/>
              <c:spPr>
                <a:noFill/>
                <a:ln>
                  <a:noFill/>
                </a:ln>
                <a:effectLst/>
              </c:spPr>
              <c:txPr>
                <a:bodyPr rot="0" spcFirstLastPara="1" vertOverflow="ellipsis" vert="horz" wrap="square" anchor="ctr" anchorCtr="1"/>
                <a:lstStyle/>
                <a:p>
                  <a:pPr>
                    <a:defRPr sz="2000" b="1" i="0" u="none" strike="noStrike" kern="1200" spc="0" baseline="0">
                      <a:solidFill>
                        <a:schemeClr val="bg1"/>
                      </a:solidFill>
                      <a:effectLst>
                        <a:glow rad="127000">
                          <a:schemeClr val="tx1"/>
                        </a:glo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2165442852812622"/>
                      <c:h val="0.18305014181259921"/>
                    </c:manualLayout>
                  </c15:layout>
                </c:ext>
                <c:ext xmlns:c16="http://schemas.microsoft.com/office/drawing/2014/chart" uri="{C3380CC4-5D6E-409C-BE32-E72D297353CC}">
                  <c16:uniqueId val="{00000005-CC3F-4E09-8D46-8FE0E753209C}"/>
                </c:ext>
              </c:extLst>
            </c:dLbl>
            <c:dLbl>
              <c:idx val="3"/>
              <c:layout>
                <c:manualLayout>
                  <c:x val="0.14914822271634465"/>
                  <c:y val="-6.3447858015540648E-2"/>
                </c:manualLayout>
              </c:layout>
              <c:spPr>
                <a:noFill/>
                <a:ln>
                  <a:noFill/>
                </a:ln>
                <a:effectLst/>
              </c:spPr>
              <c:txPr>
                <a:bodyPr rot="0" spcFirstLastPara="1" vertOverflow="ellipsis" vert="horz" wrap="square" anchor="ctr" anchorCtr="1"/>
                <a:lstStyle/>
                <a:p>
                  <a:pPr>
                    <a:defRPr sz="2000" b="1" i="0" u="none" strike="noStrike" kern="1200" spc="0" baseline="0">
                      <a:solidFill>
                        <a:schemeClr val="bg1"/>
                      </a:solidFill>
                      <a:effectLst>
                        <a:glow rad="127000">
                          <a:schemeClr val="tx1"/>
                        </a:glo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155861433477045"/>
                      <c:h val="0.15669075363485666"/>
                    </c:manualLayout>
                  </c15:layout>
                </c:ext>
                <c:ext xmlns:c16="http://schemas.microsoft.com/office/drawing/2014/chart" uri="{C3380CC4-5D6E-409C-BE32-E72D297353CC}">
                  <c16:uniqueId val="{00000007-CC3F-4E09-8D46-8FE0E753209C}"/>
                </c:ext>
              </c:extLst>
            </c:dLbl>
            <c:dLbl>
              <c:idx val="4"/>
              <c:layout>
                <c:manualLayout>
                  <c:x val="0.12314869529877798"/>
                  <c:y val="0.14175532309878283"/>
                </c:manualLayout>
              </c:layout>
              <c:spPr>
                <a:noFill/>
                <a:ln>
                  <a:noFill/>
                </a:ln>
                <a:effectLst/>
              </c:spPr>
              <c:txPr>
                <a:bodyPr rot="0" spcFirstLastPara="1" vertOverflow="ellipsis" vert="horz" wrap="square" anchor="ctr" anchorCtr="1"/>
                <a:lstStyle/>
                <a:p>
                  <a:pPr>
                    <a:defRPr sz="2000" b="1" i="0" u="none" strike="noStrike" kern="1200" spc="0" baseline="0">
                      <a:solidFill>
                        <a:schemeClr val="bg1"/>
                      </a:solidFill>
                      <a:effectLst>
                        <a:glow rad="127000">
                          <a:schemeClr val="tx1"/>
                        </a:glo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5916375576233999"/>
                      <c:h val="0.15214968920617084"/>
                    </c:manualLayout>
                  </c15:layout>
                </c:ext>
                <c:ext xmlns:c16="http://schemas.microsoft.com/office/drawing/2014/chart" uri="{C3380CC4-5D6E-409C-BE32-E72D297353CC}">
                  <c16:uniqueId val="{00000009-CC3F-4E09-8D46-8FE0E753209C}"/>
                </c:ext>
              </c:extLst>
            </c:dLbl>
            <c:spPr>
              <a:noFill/>
              <a:ln>
                <a:noFill/>
              </a:ln>
              <a:effectLst/>
            </c:spPr>
            <c:txPr>
              <a:bodyPr rot="0" spcFirstLastPara="1" vertOverflow="ellipsis" vert="horz" wrap="square" anchor="ctr" anchorCtr="1"/>
              <a:lstStyle/>
              <a:p>
                <a:pPr>
                  <a:defRPr sz="2000" b="1" i="0" u="none" strike="noStrike" kern="1200" spc="0" baseline="0">
                    <a:solidFill>
                      <a:schemeClr val="bg1"/>
                    </a:solidFill>
                    <a:effectLst>
                      <a:glow rad="127000">
                        <a:schemeClr val="tx1"/>
                      </a:glow>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Pivot_Summary!$C$2:$C$7</c:f>
              <c:strCache>
                <c:ptCount val="5"/>
                <c:pt idx="0">
                  <c:v>Auto Rickshaw</c:v>
                </c:pt>
                <c:pt idx="1">
                  <c:v>Bus</c:v>
                </c:pt>
                <c:pt idx="2">
                  <c:v>Car</c:v>
                </c:pt>
                <c:pt idx="3">
                  <c:v>Motorcycle</c:v>
                </c:pt>
                <c:pt idx="4">
                  <c:v>Truck</c:v>
                </c:pt>
              </c:strCache>
            </c:strRef>
          </c:cat>
          <c:val>
            <c:numRef>
              <c:f>Pivot_Summary!$D$2:$D$7</c:f>
              <c:numCache>
                <c:formatCode>General</c:formatCode>
                <c:ptCount val="5"/>
                <c:pt idx="0">
                  <c:v>38</c:v>
                </c:pt>
                <c:pt idx="1">
                  <c:v>46</c:v>
                </c:pt>
                <c:pt idx="2">
                  <c:v>44</c:v>
                </c:pt>
                <c:pt idx="3">
                  <c:v>43</c:v>
                </c:pt>
                <c:pt idx="4">
                  <c:v>29</c:v>
                </c:pt>
              </c:numCache>
            </c:numRef>
          </c:val>
          <c:extLst>
            <c:ext xmlns:c16="http://schemas.microsoft.com/office/drawing/2014/chart" uri="{C3380CC4-5D6E-409C-BE32-E72D297353CC}">
              <c16:uniqueId val="{0000000A-CC3F-4E09-8D46-8FE0E753209C}"/>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9752472721996115"/>
          <c:y val="0.37429036301882518"/>
          <c:w val="0.19365174395211115"/>
          <c:h val="0.33730046362694333"/>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bg2"/>
              </a:solidFill>
              <a:effectLst>
                <a:glow rad="127000">
                  <a:schemeClr val="tx1"/>
                </a:glo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accent5">
          <a:lumMod val="40000"/>
          <a:lumOff val="60000"/>
        </a:schemeClr>
      </a:solidFill>
      <a:round/>
    </a:ln>
    <a:effectLst/>
  </c:spPr>
  <c:txPr>
    <a:bodyPr/>
    <a:lstStyle/>
    <a:p>
      <a:pPr>
        <a:defRPr>
          <a:solidFill>
            <a:schemeClr val="bg2"/>
          </a:solidFill>
          <a:effectLst>
            <a:glow rad="127000">
              <a:schemeClr val="tx1"/>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[MODULE 1 - TRAFFIC (AKSHIT)FINAL.xlsx]Pivot_Summary!PivotTable5</c:name>
    <c:fmtId val="4"/>
  </c:pivotSource>
  <c:chart>
    <c:title>
      <c:tx>
        <c:rich>
          <a:bodyPr rot="0" spcFirstLastPara="1" vertOverflow="ellipsis" vert="horz" wrap="square" anchor="ctr" anchorCtr="1"/>
          <a:lstStyle/>
          <a:p>
            <a:pPr>
              <a:defRPr sz="2800" b="1" i="0" u="none" strike="noStrike" kern="1200" baseline="0">
                <a:solidFill>
                  <a:schemeClr val="bg1"/>
                </a:solidFill>
                <a:latin typeface="+mn-lt"/>
                <a:ea typeface="+mn-ea"/>
                <a:cs typeface="+mn-cs"/>
              </a:defRPr>
            </a:pPr>
            <a:r>
              <a:rPr lang="en-US" sz="2800">
                <a:solidFill>
                  <a:schemeClr val="bg1"/>
                </a:solidFill>
              </a:rPr>
              <a:t>ENVIRONMENTAL DELAY IMPACT</a:t>
            </a:r>
          </a:p>
        </c:rich>
      </c:tx>
      <c:layout>
        <c:manualLayout>
          <c:xMode val="edge"/>
          <c:yMode val="edge"/>
          <c:x val="0.27533577783064056"/>
          <c:y val="0"/>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82644251420363E-2"/>
          <c:y val="8.6596189539574125E-2"/>
          <c:w val="0.92821735574857966"/>
          <c:h val="0.83518769494846379"/>
        </c:manualLayout>
      </c:layout>
      <c:barChart>
        <c:barDir val="col"/>
        <c:grouping val="clustered"/>
        <c:varyColors val="0"/>
        <c:ser>
          <c:idx val="0"/>
          <c:order val="0"/>
          <c:tx>
            <c:strRef>
              <c:f>Pivot_Summary!$J$1</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Pivot_Summary!$I$2:$I$6</c:f>
              <c:strCache>
                <c:ptCount val="4"/>
                <c:pt idx="0">
                  <c:v>Clear</c:v>
                </c:pt>
                <c:pt idx="1">
                  <c:v>Cloudy</c:v>
                </c:pt>
                <c:pt idx="2">
                  <c:v>Hazy</c:v>
                </c:pt>
                <c:pt idx="3">
                  <c:v>Rain</c:v>
                </c:pt>
              </c:strCache>
            </c:strRef>
          </c:cat>
          <c:val>
            <c:numRef>
              <c:f>Pivot_Summary!$J$2:$J$6</c:f>
              <c:numCache>
                <c:formatCode>0.00</c:formatCode>
                <c:ptCount val="4"/>
                <c:pt idx="0">
                  <c:v>14.32070422535211</c:v>
                </c:pt>
                <c:pt idx="1">
                  <c:v>12.452083333333329</c:v>
                </c:pt>
                <c:pt idx="2">
                  <c:v>16.094333333333331</c:v>
                </c:pt>
                <c:pt idx="3">
                  <c:v>12.01</c:v>
                </c:pt>
              </c:numCache>
            </c:numRef>
          </c:val>
          <c:extLst>
            <c:ext xmlns:c16="http://schemas.microsoft.com/office/drawing/2014/chart" uri="{C3380CC4-5D6E-409C-BE32-E72D297353CC}">
              <c16:uniqueId val="{00000000-9693-4BA2-8866-CB8697B12CA4}"/>
            </c:ext>
          </c:extLst>
        </c:ser>
        <c:dLbls>
          <c:showLegendKey val="0"/>
          <c:showVal val="0"/>
          <c:showCatName val="0"/>
          <c:showSerName val="0"/>
          <c:showPercent val="0"/>
          <c:showBubbleSize val="0"/>
        </c:dLbls>
        <c:gapWidth val="100"/>
        <c:overlap val="-24"/>
        <c:axId val="783684463"/>
        <c:axId val="884332335"/>
      </c:barChart>
      <c:catAx>
        <c:axId val="7836844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300" b="0" i="0" u="none" strike="noStrike" kern="1200" baseline="0">
                <a:solidFill>
                  <a:schemeClr val="bg1"/>
                </a:solidFill>
                <a:latin typeface="+mn-lt"/>
                <a:ea typeface="+mn-ea"/>
                <a:cs typeface="+mn-cs"/>
              </a:defRPr>
            </a:pPr>
            <a:endParaRPr lang="en-US"/>
          </a:p>
        </c:txPr>
        <c:crossAx val="884332335"/>
        <c:crosses val="autoZero"/>
        <c:auto val="1"/>
        <c:lblAlgn val="ctr"/>
        <c:lblOffset val="100"/>
        <c:noMultiLvlLbl val="0"/>
      </c:catAx>
      <c:valAx>
        <c:axId val="884332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300" b="0" i="0" u="none" strike="noStrike" kern="1200" baseline="0">
                <a:solidFill>
                  <a:schemeClr val="bg1"/>
                </a:solidFill>
                <a:latin typeface="+mn-lt"/>
                <a:ea typeface="+mn-ea"/>
                <a:cs typeface="+mn-cs"/>
              </a:defRPr>
            </a:pPr>
            <a:endParaRPr lang="en-US"/>
          </a:p>
        </c:txPr>
        <c:crossAx val="783684463"/>
        <c:crosses val="autoZero"/>
        <c:crossBetween val="between"/>
      </c:valAx>
      <c:spPr>
        <a:solidFill>
          <a:schemeClr val="accent5">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2">
          <a:lumMod val="40000"/>
          <a:lumOff val="60000"/>
        </a:schemeClr>
      </a:solidFill>
      <a:round/>
    </a:ln>
    <a:effectLst/>
  </c:spPr>
  <c:txPr>
    <a:bodyPr/>
    <a:lstStyle/>
    <a:p>
      <a:pPr>
        <a:defRPr sz="23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[MODULE 1 - TRAFFIC (AKSHIT)FINAL.xlsx]Pivot_Summary!PivotTable7</c:name>
    <c:fmtId val="4"/>
  </c:pivotSource>
  <c:chart>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9.2197605343646918E-2"/>
          <c:y val="0.10372787160018702"/>
          <c:w val="0.78637505020882592"/>
          <c:h val="0.75189123880896558"/>
        </c:manualLayout>
      </c:layout>
      <c:barChart>
        <c:barDir val="col"/>
        <c:grouping val="clustered"/>
        <c:varyColors val="0"/>
        <c:ser>
          <c:idx val="0"/>
          <c:order val="0"/>
          <c:tx>
            <c:strRef>
              <c:f>Pivot_Summary!$N$1:$N$2</c:f>
              <c:strCache>
                <c:ptCount val="1"/>
                <c:pt idx="0">
                  <c:v>Auto Rickshaw</c:v>
                </c:pt>
              </c:strCache>
            </c:strRef>
          </c:tx>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Pivot_Summary!$M$3:$M$11</c:f>
              <c:strCache>
                <c:ptCount val="8"/>
                <c:pt idx="0">
                  <c:v>AIIMS Crossing</c:v>
                </c:pt>
                <c:pt idx="1">
                  <c:v>Chandni Chowk</c:v>
                </c:pt>
                <c:pt idx="2">
                  <c:v>Connaught Place</c:v>
                </c:pt>
                <c:pt idx="3">
                  <c:v>DND Flyway</c:v>
                </c:pt>
                <c:pt idx="4">
                  <c:v>India Gate Circle</c:v>
                </c:pt>
                <c:pt idx="5">
                  <c:v>NH8 (near Airport)</c:v>
                </c:pt>
                <c:pt idx="6">
                  <c:v>Outer Ring Road (IIT Delhi)</c:v>
                </c:pt>
                <c:pt idx="7">
                  <c:v>Rajiv Chowk Metro Area</c:v>
                </c:pt>
              </c:strCache>
            </c:strRef>
          </c:cat>
          <c:val>
            <c:numRef>
              <c:f>Pivot_Summary!$N$3:$N$11</c:f>
              <c:numCache>
                <c:formatCode>0.00</c:formatCode>
                <c:ptCount val="8"/>
                <c:pt idx="0">
                  <c:v>20.399999999999999</c:v>
                </c:pt>
                <c:pt idx="1">
                  <c:v>21.75</c:v>
                </c:pt>
                <c:pt idx="2">
                  <c:v>32.75</c:v>
                </c:pt>
                <c:pt idx="3">
                  <c:v>51.857142857142854</c:v>
                </c:pt>
                <c:pt idx="4">
                  <c:v>24.166666666666668</c:v>
                </c:pt>
                <c:pt idx="5">
                  <c:v>42</c:v>
                </c:pt>
                <c:pt idx="6">
                  <c:v>25.666666666666668</c:v>
                </c:pt>
                <c:pt idx="7">
                  <c:v>18.8</c:v>
                </c:pt>
              </c:numCache>
            </c:numRef>
          </c:val>
          <c:extLst>
            <c:ext xmlns:c16="http://schemas.microsoft.com/office/drawing/2014/chart" uri="{C3380CC4-5D6E-409C-BE32-E72D297353CC}">
              <c16:uniqueId val="{00000000-BCD6-4DDD-B492-BFD7D94A3251}"/>
            </c:ext>
          </c:extLst>
        </c:ser>
        <c:ser>
          <c:idx val="1"/>
          <c:order val="1"/>
          <c:tx>
            <c:strRef>
              <c:f>Pivot_Summary!$O$1:$O$2</c:f>
              <c:strCache>
                <c:ptCount val="1"/>
                <c:pt idx="0">
                  <c:v>Bus</c:v>
                </c:pt>
              </c:strCache>
            </c:strRef>
          </c:tx>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Pivot_Summary!$M$3:$M$11</c:f>
              <c:strCache>
                <c:ptCount val="8"/>
                <c:pt idx="0">
                  <c:v>AIIMS Crossing</c:v>
                </c:pt>
                <c:pt idx="1">
                  <c:v>Chandni Chowk</c:v>
                </c:pt>
                <c:pt idx="2">
                  <c:v>Connaught Place</c:v>
                </c:pt>
                <c:pt idx="3">
                  <c:v>DND Flyway</c:v>
                </c:pt>
                <c:pt idx="4">
                  <c:v>India Gate Circle</c:v>
                </c:pt>
                <c:pt idx="5">
                  <c:v>NH8 (near Airport)</c:v>
                </c:pt>
                <c:pt idx="6">
                  <c:v>Outer Ring Road (IIT Delhi)</c:v>
                </c:pt>
                <c:pt idx="7">
                  <c:v>Rajiv Chowk Metro Area</c:v>
                </c:pt>
              </c:strCache>
            </c:strRef>
          </c:cat>
          <c:val>
            <c:numRef>
              <c:f>Pivot_Summary!$O$3:$O$11</c:f>
              <c:numCache>
                <c:formatCode>0.00</c:formatCode>
                <c:ptCount val="8"/>
                <c:pt idx="0">
                  <c:v>28.555555555555557</c:v>
                </c:pt>
                <c:pt idx="1">
                  <c:v>16.142857142857142</c:v>
                </c:pt>
                <c:pt idx="2">
                  <c:v>30.6</c:v>
                </c:pt>
                <c:pt idx="3">
                  <c:v>55.8</c:v>
                </c:pt>
                <c:pt idx="4">
                  <c:v>28</c:v>
                </c:pt>
                <c:pt idx="5">
                  <c:v>57.75</c:v>
                </c:pt>
                <c:pt idx="6">
                  <c:v>23.5</c:v>
                </c:pt>
                <c:pt idx="7">
                  <c:v>20.6</c:v>
                </c:pt>
              </c:numCache>
            </c:numRef>
          </c:val>
          <c:extLst>
            <c:ext xmlns:c16="http://schemas.microsoft.com/office/drawing/2014/chart" uri="{C3380CC4-5D6E-409C-BE32-E72D297353CC}">
              <c16:uniqueId val="{00000028-C27C-4F54-B93E-0782087E1B1E}"/>
            </c:ext>
          </c:extLst>
        </c:ser>
        <c:ser>
          <c:idx val="2"/>
          <c:order val="2"/>
          <c:tx>
            <c:strRef>
              <c:f>Pivot_Summary!$P$1:$P$2</c:f>
              <c:strCache>
                <c:ptCount val="1"/>
                <c:pt idx="0">
                  <c:v>Car</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Pivot_Summary!$M$3:$M$11</c:f>
              <c:strCache>
                <c:ptCount val="8"/>
                <c:pt idx="0">
                  <c:v>AIIMS Crossing</c:v>
                </c:pt>
                <c:pt idx="1">
                  <c:v>Chandni Chowk</c:v>
                </c:pt>
                <c:pt idx="2">
                  <c:v>Connaught Place</c:v>
                </c:pt>
                <c:pt idx="3">
                  <c:v>DND Flyway</c:v>
                </c:pt>
                <c:pt idx="4">
                  <c:v>India Gate Circle</c:v>
                </c:pt>
                <c:pt idx="5">
                  <c:v>NH8 (near Airport)</c:v>
                </c:pt>
                <c:pt idx="6">
                  <c:v>Outer Ring Road (IIT Delhi)</c:v>
                </c:pt>
                <c:pt idx="7">
                  <c:v>Rajiv Chowk Metro Area</c:v>
                </c:pt>
              </c:strCache>
            </c:strRef>
          </c:cat>
          <c:val>
            <c:numRef>
              <c:f>Pivot_Summary!$P$3:$P$11</c:f>
              <c:numCache>
                <c:formatCode>0.00</c:formatCode>
                <c:ptCount val="8"/>
                <c:pt idx="0">
                  <c:v>27.714285714285715</c:v>
                </c:pt>
                <c:pt idx="1">
                  <c:v>18</c:v>
                </c:pt>
                <c:pt idx="2">
                  <c:v>32.25</c:v>
                </c:pt>
                <c:pt idx="3">
                  <c:v>74.5</c:v>
                </c:pt>
                <c:pt idx="4">
                  <c:v>30.375</c:v>
                </c:pt>
                <c:pt idx="5">
                  <c:v>40.666666666666664</c:v>
                </c:pt>
                <c:pt idx="6">
                  <c:v>22.777777777777779</c:v>
                </c:pt>
                <c:pt idx="7">
                  <c:v>26.333333333333332</c:v>
                </c:pt>
              </c:numCache>
            </c:numRef>
          </c:val>
          <c:extLst>
            <c:ext xmlns:c16="http://schemas.microsoft.com/office/drawing/2014/chart" uri="{C3380CC4-5D6E-409C-BE32-E72D297353CC}">
              <c16:uniqueId val="{00000029-C27C-4F54-B93E-0782087E1B1E}"/>
            </c:ext>
          </c:extLst>
        </c:ser>
        <c:ser>
          <c:idx val="3"/>
          <c:order val="3"/>
          <c:tx>
            <c:strRef>
              <c:f>Pivot_Summary!$Q$1:$Q$2</c:f>
              <c:strCache>
                <c:ptCount val="1"/>
                <c:pt idx="0">
                  <c:v>Motorcycle</c:v>
                </c:pt>
              </c:strCache>
            </c:strRef>
          </c:tx>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Pivot_Summary!$M$3:$M$11</c:f>
              <c:strCache>
                <c:ptCount val="8"/>
                <c:pt idx="0">
                  <c:v>AIIMS Crossing</c:v>
                </c:pt>
                <c:pt idx="1">
                  <c:v>Chandni Chowk</c:v>
                </c:pt>
                <c:pt idx="2">
                  <c:v>Connaught Place</c:v>
                </c:pt>
                <c:pt idx="3">
                  <c:v>DND Flyway</c:v>
                </c:pt>
                <c:pt idx="4">
                  <c:v>India Gate Circle</c:v>
                </c:pt>
                <c:pt idx="5">
                  <c:v>NH8 (near Airport)</c:v>
                </c:pt>
                <c:pt idx="6">
                  <c:v>Outer Ring Road (IIT Delhi)</c:v>
                </c:pt>
                <c:pt idx="7">
                  <c:v>Rajiv Chowk Metro Area</c:v>
                </c:pt>
              </c:strCache>
            </c:strRef>
          </c:cat>
          <c:val>
            <c:numRef>
              <c:f>Pivot_Summary!$Q$3:$Q$11</c:f>
              <c:numCache>
                <c:formatCode>0.00</c:formatCode>
                <c:ptCount val="8"/>
                <c:pt idx="0">
                  <c:v>27.75</c:v>
                </c:pt>
                <c:pt idx="1">
                  <c:v>17.5</c:v>
                </c:pt>
                <c:pt idx="2">
                  <c:v>21.6</c:v>
                </c:pt>
                <c:pt idx="3">
                  <c:v>40</c:v>
                </c:pt>
                <c:pt idx="4">
                  <c:v>23.555555555555557</c:v>
                </c:pt>
                <c:pt idx="5">
                  <c:v>50</c:v>
                </c:pt>
                <c:pt idx="6">
                  <c:v>24.375</c:v>
                </c:pt>
                <c:pt idx="7">
                  <c:v>36.6</c:v>
                </c:pt>
              </c:numCache>
            </c:numRef>
          </c:val>
          <c:extLst>
            <c:ext xmlns:c16="http://schemas.microsoft.com/office/drawing/2014/chart" uri="{C3380CC4-5D6E-409C-BE32-E72D297353CC}">
              <c16:uniqueId val="{0000002A-C27C-4F54-B93E-0782087E1B1E}"/>
            </c:ext>
          </c:extLst>
        </c:ser>
        <c:ser>
          <c:idx val="4"/>
          <c:order val="4"/>
          <c:tx>
            <c:strRef>
              <c:f>Pivot_Summary!$R$1:$R$2</c:f>
              <c:strCache>
                <c:ptCount val="1"/>
                <c:pt idx="0">
                  <c:v>Truck</c:v>
                </c:pt>
              </c:strCache>
            </c:strRef>
          </c:tx>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Pivot_Summary!$M$3:$M$11</c:f>
              <c:strCache>
                <c:ptCount val="8"/>
                <c:pt idx="0">
                  <c:v>AIIMS Crossing</c:v>
                </c:pt>
                <c:pt idx="1">
                  <c:v>Chandni Chowk</c:v>
                </c:pt>
                <c:pt idx="2">
                  <c:v>Connaught Place</c:v>
                </c:pt>
                <c:pt idx="3">
                  <c:v>DND Flyway</c:v>
                </c:pt>
                <c:pt idx="4">
                  <c:v>India Gate Circle</c:v>
                </c:pt>
                <c:pt idx="5">
                  <c:v>NH8 (near Airport)</c:v>
                </c:pt>
                <c:pt idx="6">
                  <c:v>Outer Ring Road (IIT Delhi)</c:v>
                </c:pt>
                <c:pt idx="7">
                  <c:v>Rajiv Chowk Metro Area</c:v>
                </c:pt>
              </c:strCache>
            </c:strRef>
          </c:cat>
          <c:val>
            <c:numRef>
              <c:f>Pivot_Summary!$R$3:$R$11</c:f>
              <c:numCache>
                <c:formatCode>0.00</c:formatCode>
                <c:ptCount val="8"/>
                <c:pt idx="0">
                  <c:v>24.666666666666668</c:v>
                </c:pt>
                <c:pt idx="1">
                  <c:v>27</c:v>
                </c:pt>
                <c:pt idx="2">
                  <c:v>27</c:v>
                </c:pt>
                <c:pt idx="3">
                  <c:v>57</c:v>
                </c:pt>
                <c:pt idx="4">
                  <c:v>30</c:v>
                </c:pt>
                <c:pt idx="5">
                  <c:v>60.5</c:v>
                </c:pt>
                <c:pt idx="6">
                  <c:v>18</c:v>
                </c:pt>
                <c:pt idx="7">
                  <c:v>27</c:v>
                </c:pt>
              </c:numCache>
            </c:numRef>
          </c:val>
          <c:extLst>
            <c:ext xmlns:c16="http://schemas.microsoft.com/office/drawing/2014/chart" uri="{C3380CC4-5D6E-409C-BE32-E72D297353CC}">
              <c16:uniqueId val="{0000002B-C27C-4F54-B93E-0782087E1B1E}"/>
            </c:ext>
          </c:extLst>
        </c:ser>
        <c:dLbls>
          <c:showLegendKey val="0"/>
          <c:showVal val="0"/>
          <c:showCatName val="0"/>
          <c:showSerName val="0"/>
          <c:showPercent val="0"/>
          <c:showBubbleSize val="0"/>
        </c:dLbls>
        <c:gapWidth val="219"/>
        <c:overlap val="-27"/>
        <c:axId val="658288399"/>
        <c:axId val="521786479"/>
      </c:barChart>
      <c:catAx>
        <c:axId val="6582883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chemeClr val="bg1"/>
                </a:solidFill>
                <a:latin typeface="+mn-lt"/>
                <a:ea typeface="+mn-ea"/>
                <a:cs typeface="+mn-cs"/>
              </a:defRPr>
            </a:pPr>
            <a:endParaRPr lang="en-US"/>
          </a:p>
        </c:txPr>
        <c:crossAx val="521786479"/>
        <c:crosses val="autoZero"/>
        <c:auto val="1"/>
        <c:lblAlgn val="ctr"/>
        <c:lblOffset val="100"/>
        <c:noMultiLvlLbl val="0"/>
      </c:catAx>
      <c:valAx>
        <c:axId val="521786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700" b="0" i="0" u="none" strike="noStrike" kern="1200" baseline="0">
                <a:solidFill>
                  <a:schemeClr val="bg1"/>
                </a:solidFill>
                <a:latin typeface="+mn-lt"/>
                <a:ea typeface="+mn-ea"/>
                <a:cs typeface="+mn-cs"/>
              </a:defRPr>
            </a:pPr>
            <a:endParaRPr lang="en-US"/>
          </a:p>
        </c:txPr>
        <c:crossAx val="658288399"/>
        <c:crosses val="autoZero"/>
        <c:crossBetween val="between"/>
      </c:valAx>
      <c:spPr>
        <a:solidFill>
          <a:schemeClr val="accent5">
            <a:lumMod val="40000"/>
            <a:lumOff val="60000"/>
          </a:schemeClr>
        </a:solidFill>
        <a:ln cmpd="sng">
          <a:solidFill>
            <a:schemeClr val="accent1"/>
          </a:solidFill>
          <a:prstDash val="solid"/>
        </a:ln>
        <a:effectLst/>
      </c:spPr>
    </c:plotArea>
    <c:legend>
      <c:legendPos val="r"/>
      <c:layout>
        <c:manualLayout>
          <c:xMode val="edge"/>
          <c:yMode val="edge"/>
          <c:x val="0.88340917165251065"/>
          <c:y val="0.34974511302893219"/>
          <c:w val="0.11659082834748959"/>
          <c:h val="0.24994865186110121"/>
        </c:manualLayout>
      </c:layout>
      <c:overlay val="0"/>
      <c:spPr>
        <a:noFill/>
        <a:ln>
          <a:noFill/>
        </a:ln>
        <a:effectLst/>
      </c:spPr>
      <c:txPr>
        <a:bodyPr rot="0" spcFirstLastPara="1" vertOverflow="ellipsis" vert="horz" wrap="square" anchor="ctr" anchorCtr="1"/>
        <a:lstStyle/>
        <a:p>
          <a:pPr>
            <a:defRPr sz="17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accent5">
          <a:lumMod val="40000"/>
          <a:lumOff val="60000"/>
        </a:schemeClr>
      </a:solidFill>
      <a:round/>
    </a:ln>
    <a:effectLst/>
  </c:spPr>
  <c:txPr>
    <a:bodyPr/>
    <a:lstStyle/>
    <a:p>
      <a:pPr>
        <a:defRPr sz="14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138546</xdr:colOff>
      <xdr:row>59</xdr:row>
      <xdr:rowOff>3465</xdr:rowOff>
    </xdr:from>
    <xdr:to>
      <xdr:col>34</xdr:col>
      <xdr:colOff>94228</xdr:colOff>
      <xdr:row>97</xdr:row>
      <xdr:rowOff>144465</xdr:rowOff>
    </xdr:to>
    <xdr:graphicFrame macro="">
      <xdr:nvGraphicFramePr>
        <xdr:cNvPr id="2" name="Chart 1">
          <a:extLst>
            <a:ext uri="{FF2B5EF4-FFF2-40B4-BE49-F238E27FC236}">
              <a16:creationId xmlns:a16="http://schemas.microsoft.com/office/drawing/2014/main" id="{31E4FC33-BE06-475E-B1A7-D9E2A7751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144959</xdr:colOff>
      <xdr:row>19</xdr:row>
      <xdr:rowOff>178451</xdr:rowOff>
    </xdr:from>
    <xdr:to>
      <xdr:col>51</xdr:col>
      <xdr:colOff>100640</xdr:colOff>
      <xdr:row>58</xdr:row>
      <xdr:rowOff>128951</xdr:rowOff>
    </xdr:to>
    <xdr:graphicFrame macro="">
      <xdr:nvGraphicFramePr>
        <xdr:cNvPr id="3" name="Chart 2">
          <a:extLst>
            <a:ext uri="{FF2B5EF4-FFF2-40B4-BE49-F238E27FC236}">
              <a16:creationId xmlns:a16="http://schemas.microsoft.com/office/drawing/2014/main" id="{BBAE2643-FB65-4DB0-82F1-3B4085618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118968</xdr:colOff>
      <xdr:row>59</xdr:row>
      <xdr:rowOff>4220</xdr:rowOff>
    </xdr:from>
    <xdr:to>
      <xdr:col>17</xdr:col>
      <xdr:colOff>74650</xdr:colOff>
      <xdr:row>97</xdr:row>
      <xdr:rowOff>145220</xdr:rowOff>
    </xdr:to>
    <xdr:graphicFrame macro="">
      <xdr:nvGraphicFramePr>
        <xdr:cNvPr id="4" name="Chart 3">
          <a:extLst>
            <a:ext uri="{FF2B5EF4-FFF2-40B4-BE49-F238E27FC236}">
              <a16:creationId xmlns:a16="http://schemas.microsoft.com/office/drawing/2014/main" id="{5B45CA58-E21D-4B5D-A065-63F783FF3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135029</xdr:colOff>
      <xdr:row>19</xdr:row>
      <xdr:rowOff>179204</xdr:rowOff>
    </xdr:from>
    <xdr:to>
      <xdr:col>34</xdr:col>
      <xdr:colOff>90711</xdr:colOff>
      <xdr:row>58</xdr:row>
      <xdr:rowOff>129704</xdr:rowOff>
    </xdr:to>
    <xdr:graphicFrame macro="">
      <xdr:nvGraphicFramePr>
        <xdr:cNvPr id="5" name="Chart 4">
          <a:extLst>
            <a:ext uri="{FF2B5EF4-FFF2-40B4-BE49-F238E27FC236}">
              <a16:creationId xmlns:a16="http://schemas.microsoft.com/office/drawing/2014/main" id="{763B675E-128F-43E2-856C-F4B1150CC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147797</xdr:colOff>
      <xdr:row>59</xdr:row>
      <xdr:rowOff>7232</xdr:rowOff>
    </xdr:from>
    <xdr:to>
      <xdr:col>51</xdr:col>
      <xdr:colOff>103478</xdr:colOff>
      <xdr:row>97</xdr:row>
      <xdr:rowOff>148232</xdr:rowOff>
    </xdr:to>
    <xdr:graphicFrame macro="">
      <xdr:nvGraphicFramePr>
        <xdr:cNvPr id="6" name="Chart 5">
          <a:extLst>
            <a:ext uri="{FF2B5EF4-FFF2-40B4-BE49-F238E27FC236}">
              <a16:creationId xmlns:a16="http://schemas.microsoft.com/office/drawing/2014/main" id="{47D19120-AD57-4CB8-8ECC-163BB898D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115453</xdr:colOff>
      <xdr:row>19</xdr:row>
      <xdr:rowOff>173181</xdr:rowOff>
    </xdr:from>
    <xdr:to>
      <xdr:col>17</xdr:col>
      <xdr:colOff>71135</xdr:colOff>
      <xdr:row>58</xdr:row>
      <xdr:rowOff>123681</xdr:rowOff>
    </xdr:to>
    <xdr:graphicFrame macro="">
      <xdr:nvGraphicFramePr>
        <xdr:cNvPr id="7" name="Chart 6">
          <a:extLst>
            <a:ext uri="{FF2B5EF4-FFF2-40B4-BE49-F238E27FC236}">
              <a16:creationId xmlns:a16="http://schemas.microsoft.com/office/drawing/2014/main" id="{ED5FF31D-A574-4439-B65B-33B092476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51</xdr:col>
      <xdr:colOff>217941</xdr:colOff>
      <xdr:row>25</xdr:row>
      <xdr:rowOff>98094</xdr:rowOff>
    </xdr:from>
    <xdr:to>
      <xdr:col>55</xdr:col>
      <xdr:colOff>467071</xdr:colOff>
      <xdr:row>34</xdr:row>
      <xdr:rowOff>130629</xdr:rowOff>
    </xdr:to>
    <mc:AlternateContent xmlns:mc="http://schemas.openxmlformats.org/markup-compatibility/2006" xmlns:a14="http://schemas.microsoft.com/office/drawing/2010/main">
      <mc:Choice Requires="a14">
        <xdr:graphicFrame macro="">
          <xdr:nvGraphicFramePr>
            <xdr:cNvPr id="12" name="Weather">
              <a:extLst>
                <a:ext uri="{FF2B5EF4-FFF2-40B4-BE49-F238E27FC236}">
                  <a16:creationId xmlns:a16="http://schemas.microsoft.com/office/drawing/2014/main" id="{9BE37E73-905A-4B3C-ABC2-EB7CF18A3F53}"/>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31307541" y="4474151"/>
              <a:ext cx="2687530" cy="1600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222402</xdr:colOff>
      <xdr:row>9</xdr:row>
      <xdr:rowOff>36755</xdr:rowOff>
    </xdr:from>
    <xdr:to>
      <xdr:col>55</xdr:col>
      <xdr:colOff>463701</xdr:colOff>
      <xdr:row>24</xdr:row>
      <xdr:rowOff>152400</xdr:rowOff>
    </xdr:to>
    <mc:AlternateContent xmlns:mc="http://schemas.openxmlformats.org/markup-compatibility/2006" xmlns:a14="http://schemas.microsoft.com/office/drawing/2010/main">
      <mc:Choice Requires="a14">
        <xdr:graphicFrame macro="">
          <xdr:nvGraphicFramePr>
            <xdr:cNvPr id="13" name="Location">
              <a:extLst>
                <a:ext uri="{FF2B5EF4-FFF2-40B4-BE49-F238E27FC236}">
                  <a16:creationId xmlns:a16="http://schemas.microsoft.com/office/drawing/2014/main" id="{C97A18BE-05FF-42C9-AD4E-17653CA937C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1312002" y="1604298"/>
              <a:ext cx="2679699" cy="2749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297676</xdr:colOff>
      <xdr:row>20</xdr:row>
      <xdr:rowOff>106941</xdr:rowOff>
    </xdr:from>
    <xdr:to>
      <xdr:col>12</xdr:col>
      <xdr:colOff>170675</xdr:colOff>
      <xdr:row>23</xdr:row>
      <xdr:rowOff>41868</xdr:rowOff>
    </xdr:to>
    <xdr:sp macro="" textlink="">
      <xdr:nvSpPr>
        <xdr:cNvPr id="14" name="TextBox 13">
          <a:extLst>
            <a:ext uri="{FF2B5EF4-FFF2-40B4-BE49-F238E27FC236}">
              <a16:creationId xmlns:a16="http://schemas.microsoft.com/office/drawing/2014/main" id="{3539708F-9730-79D2-F795-DF85C3252A98}"/>
            </a:ext>
          </a:extLst>
        </xdr:cNvPr>
        <xdr:cNvSpPr txBox="1"/>
      </xdr:nvSpPr>
      <xdr:spPr>
        <a:xfrm>
          <a:off x="3345676" y="3612141"/>
          <a:ext cx="4140199" cy="457441"/>
        </a:xfrm>
        <a:prstGeom prst="rect">
          <a:avLst/>
        </a:prstGeom>
        <a:solidFill>
          <a:schemeClr val="tx1"/>
        </a:solidFill>
        <a:ln w="9525" cmpd="sng">
          <a:noFill/>
        </a:ln>
        <a:effectLst>
          <a:outerShdw blurRad="44450" dist="27940" dir="5400000" algn="ctr">
            <a:srgbClr val="000000">
              <a:alpha val="32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2"/>
              </a:solidFill>
              <a:effectLst/>
              <a:latin typeface="+mn-lt"/>
              <a:ea typeface="+mn-ea"/>
              <a:cs typeface="+mn-cs"/>
            </a:rPr>
            <a:t>DELHI</a:t>
          </a:r>
          <a:r>
            <a:rPr lang="en-IN" sz="2400" b="1" baseline="0">
              <a:solidFill>
                <a:schemeClr val="bg2"/>
              </a:solidFill>
              <a:effectLst/>
              <a:latin typeface="+mn-lt"/>
              <a:ea typeface="+mn-ea"/>
              <a:cs typeface="+mn-cs"/>
            </a:rPr>
            <a:t> MODAL </a:t>
          </a:r>
          <a:r>
            <a:rPr lang="en-IN" sz="2800" b="1" baseline="0">
              <a:solidFill>
                <a:schemeClr val="bg2"/>
              </a:solidFill>
              <a:effectLst/>
              <a:latin typeface="+mn-lt"/>
              <a:ea typeface="+mn-ea"/>
              <a:cs typeface="+mn-cs"/>
            </a:rPr>
            <a:t>CONGESTION</a:t>
          </a:r>
          <a:endParaRPr lang="en-IN" sz="2800" b="1">
            <a:solidFill>
              <a:schemeClr val="bg2"/>
            </a:solidFill>
            <a:effectLst/>
            <a:latin typeface="+mn-lt"/>
            <a:ea typeface="+mn-ea"/>
            <a:cs typeface="+mn-cs"/>
          </a:endParaRPr>
        </a:p>
      </xdr:txBody>
    </xdr:sp>
    <xdr:clientData/>
  </xdr:twoCellAnchor>
  <xdr:twoCellAnchor editAs="oneCell">
    <xdr:from>
      <xdr:col>51</xdr:col>
      <xdr:colOff>218676</xdr:colOff>
      <xdr:row>35</xdr:row>
      <xdr:rowOff>54836</xdr:rowOff>
    </xdr:from>
    <xdr:to>
      <xdr:col>55</xdr:col>
      <xdr:colOff>474251</xdr:colOff>
      <xdr:row>44</xdr:row>
      <xdr:rowOff>170518</xdr:rowOff>
    </xdr:to>
    <mc:AlternateContent xmlns:mc="http://schemas.openxmlformats.org/markup-compatibility/2006" xmlns:a14="http://schemas.microsoft.com/office/drawing/2010/main">
      <mc:Choice Requires="a14">
        <xdr:graphicFrame macro="">
          <xdr:nvGraphicFramePr>
            <xdr:cNvPr id="10" name="Traffic_Condition">
              <a:extLst>
                <a:ext uri="{FF2B5EF4-FFF2-40B4-BE49-F238E27FC236}">
                  <a16:creationId xmlns:a16="http://schemas.microsoft.com/office/drawing/2014/main" id="{B2D8643D-4CEB-4F91-96A0-98A694243822}"/>
                </a:ext>
              </a:extLst>
            </xdr:cNvPr>
            <xdr:cNvGraphicFramePr/>
          </xdr:nvGraphicFramePr>
          <xdr:xfrm>
            <a:off x="0" y="0"/>
            <a:ext cx="0" cy="0"/>
          </xdr:xfrm>
          <a:graphic>
            <a:graphicData uri="http://schemas.microsoft.com/office/drawing/2010/slicer">
              <sle:slicer xmlns:sle="http://schemas.microsoft.com/office/drawing/2010/slicer" name="Traffic_Condition"/>
            </a:graphicData>
          </a:graphic>
        </xdr:graphicFrame>
      </mc:Choice>
      <mc:Fallback xmlns="">
        <xdr:sp macro="" textlink="">
          <xdr:nvSpPr>
            <xdr:cNvPr id="0" name=""/>
            <xdr:cNvSpPr>
              <a:spLocks noTextEdit="1"/>
            </xdr:cNvSpPr>
          </xdr:nvSpPr>
          <xdr:spPr>
            <a:xfrm>
              <a:off x="31308276" y="6172607"/>
              <a:ext cx="2693975" cy="1683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229200</xdr:colOff>
      <xdr:row>45</xdr:row>
      <xdr:rowOff>115557</xdr:rowOff>
    </xdr:from>
    <xdr:to>
      <xdr:col>55</xdr:col>
      <xdr:colOff>484909</xdr:colOff>
      <xdr:row>58</xdr:row>
      <xdr:rowOff>87086</xdr:rowOff>
    </xdr:to>
    <mc:AlternateContent xmlns:mc="http://schemas.openxmlformats.org/markup-compatibility/2006" xmlns:a14="http://schemas.microsoft.com/office/drawing/2010/main">
      <mc:Choice Requires="a14">
        <xdr:graphicFrame macro="">
          <xdr:nvGraphicFramePr>
            <xdr:cNvPr id="18" name="Vehicle_Type">
              <a:extLst>
                <a:ext uri="{FF2B5EF4-FFF2-40B4-BE49-F238E27FC236}">
                  <a16:creationId xmlns:a16="http://schemas.microsoft.com/office/drawing/2014/main" id="{3A5B0000-2203-41BC-B351-75FE3EA602A1}"/>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31318800" y="7975043"/>
              <a:ext cx="2694109" cy="2235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51</xdr:col>
      <xdr:colOff>357188</xdr:colOff>
      <xdr:row>58</xdr:row>
      <xdr:rowOff>173181</xdr:rowOff>
    </xdr:from>
    <xdr:to>
      <xdr:col>55</xdr:col>
      <xdr:colOff>576649</xdr:colOff>
      <xdr:row>98</xdr:row>
      <xdr:rowOff>17316</xdr:rowOff>
    </xdr:to>
    <xdr:sp macro="" textlink="">
      <xdr:nvSpPr>
        <xdr:cNvPr id="19" name="TextBox 18">
          <a:extLst>
            <a:ext uri="{FF2B5EF4-FFF2-40B4-BE49-F238E27FC236}">
              <a16:creationId xmlns:a16="http://schemas.microsoft.com/office/drawing/2014/main" id="{B2E08078-B07D-561C-EC3F-37E99521AA6E}"/>
            </a:ext>
          </a:extLst>
        </xdr:cNvPr>
        <xdr:cNvSpPr txBox="1"/>
      </xdr:nvSpPr>
      <xdr:spPr>
        <a:xfrm>
          <a:off x="31270143" y="11222181"/>
          <a:ext cx="2644006" cy="7464135"/>
        </a:xfrm>
        <a:prstGeom prst="rect">
          <a:avLst/>
        </a:prstGeom>
        <a:solidFill>
          <a:schemeClr val="tx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500" b="1">
              <a:solidFill>
                <a:schemeClr val="accent5">
                  <a:lumMod val="20000"/>
                  <a:lumOff val="80000"/>
                </a:schemeClr>
              </a:solidFill>
            </a:rPr>
            <a:t>KEY INSIGHTS</a:t>
          </a:r>
        </a:p>
        <a:p>
          <a:pPr algn="ctr"/>
          <a:endParaRPr lang="en-IN" sz="2500" b="1">
            <a:solidFill>
              <a:schemeClr val="accent5">
                <a:lumMod val="20000"/>
                <a:lumOff val="80000"/>
              </a:schemeClr>
            </a:solidFill>
          </a:endParaRPr>
        </a:p>
        <a:p>
          <a:r>
            <a:rPr lang="en-IN" sz="2500" b="1">
              <a:solidFill>
                <a:schemeClr val="accent5">
                  <a:lumMod val="20000"/>
                  <a:lumOff val="80000"/>
                </a:schemeClr>
              </a:solidFill>
            </a:rPr>
            <a:t>* Hazy Conditions has the highest average travel-time impact.</a:t>
          </a:r>
        </a:p>
        <a:p>
          <a:r>
            <a:rPr lang="en-IN" sz="2500" b="1">
              <a:solidFill>
                <a:schemeClr val="accent5">
                  <a:lumMod val="20000"/>
                  <a:lumOff val="80000"/>
                </a:schemeClr>
              </a:solidFill>
            </a:rPr>
            <a:t>* Traffic conditions vary across locations.</a:t>
          </a:r>
        </a:p>
        <a:p>
          <a:r>
            <a:rPr lang="en-IN" sz="2500" b="1">
              <a:solidFill>
                <a:schemeClr val="accent5">
                  <a:lumMod val="20000"/>
                  <a:lumOff val="80000"/>
                </a:schemeClr>
              </a:solidFill>
            </a:rPr>
            <a:t>* Vehicle composition is</a:t>
          </a:r>
          <a:r>
            <a:rPr lang="en-IN" sz="2500" b="1" baseline="0">
              <a:solidFill>
                <a:schemeClr val="accent5">
                  <a:lumMod val="20000"/>
                  <a:lumOff val="80000"/>
                </a:schemeClr>
              </a:solidFill>
            </a:rPr>
            <a:t> dominated by </a:t>
          </a:r>
          <a:r>
            <a:rPr lang="en-IN" sz="2500" b="1">
              <a:solidFill>
                <a:schemeClr val="accent5">
                  <a:lumMod val="20000"/>
                  <a:lumOff val="80000"/>
                </a:schemeClr>
              </a:solidFill>
            </a:rPr>
            <a:t>the largest categories.</a:t>
          </a:r>
        </a:p>
        <a:p>
          <a:r>
            <a:rPr lang="en-IN" sz="2500" b="1">
              <a:solidFill>
                <a:schemeClr val="accent5">
                  <a:lumMod val="20000"/>
                  <a:lumOff val="80000"/>
                </a:schemeClr>
              </a:solidFill>
            </a:rPr>
            <a:t>* Average speed differs</a:t>
          </a:r>
          <a:r>
            <a:rPr lang="en-IN" sz="2500" b="1" baseline="0">
              <a:solidFill>
                <a:schemeClr val="accent5">
                  <a:lumMod val="20000"/>
                  <a:lumOff val="80000"/>
                </a:schemeClr>
              </a:solidFill>
            </a:rPr>
            <a:t> </a:t>
          </a:r>
          <a:r>
            <a:rPr lang="en-IN" sz="2500" b="1">
              <a:solidFill>
                <a:schemeClr val="accent5">
                  <a:lumMod val="20000"/>
                  <a:lumOff val="80000"/>
                </a:schemeClr>
              </a:solidFill>
            </a:rPr>
            <a:t>considerably by location.</a:t>
          </a:r>
        </a:p>
      </xdr:txBody>
    </xdr:sp>
    <xdr:clientData/>
  </xdr:twoCellAnchor>
  <xdr:twoCellAnchor>
    <xdr:from>
      <xdr:col>0</xdr:col>
      <xdr:colOff>10026</xdr:colOff>
      <xdr:row>9</xdr:row>
      <xdr:rowOff>0</xdr:rowOff>
    </xdr:from>
    <xdr:to>
      <xdr:col>10</xdr:col>
      <xdr:colOff>0</xdr:colOff>
      <xdr:row>14</xdr:row>
      <xdr:rowOff>127500</xdr:rowOff>
    </xdr:to>
    <xdr:sp macro="" textlink="">
      <xdr:nvSpPr>
        <xdr:cNvPr id="11" name="TextBox 10">
          <a:extLst>
            <a:ext uri="{FF2B5EF4-FFF2-40B4-BE49-F238E27FC236}">
              <a16:creationId xmlns:a16="http://schemas.microsoft.com/office/drawing/2014/main" id="{74151BFF-18A5-4A73-8482-28B66F104164}"/>
            </a:ext>
          </a:extLst>
        </xdr:cNvPr>
        <xdr:cNvSpPr txBox="1"/>
      </xdr:nvSpPr>
      <xdr:spPr>
        <a:xfrm>
          <a:off x="10026" y="1714500"/>
          <a:ext cx="6128307" cy="1080000"/>
        </a:xfrm>
        <a:prstGeom prst="rect">
          <a:avLst/>
        </a:prstGeom>
        <a:solidFill>
          <a:schemeClr val="accent5">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tx1"/>
              </a:solidFill>
            </a:rPr>
            <a:t>TOTAL RECORDS</a:t>
          </a:r>
        </a:p>
      </xdr:txBody>
    </xdr:sp>
    <xdr:clientData/>
  </xdr:twoCellAnchor>
  <xdr:twoCellAnchor>
    <xdr:from>
      <xdr:col>58</xdr:col>
      <xdr:colOff>22764</xdr:colOff>
      <xdr:row>23</xdr:row>
      <xdr:rowOff>20891</xdr:rowOff>
    </xdr:from>
    <xdr:to>
      <xdr:col>67</xdr:col>
      <xdr:colOff>21771</xdr:colOff>
      <xdr:row>28</xdr:row>
      <xdr:rowOff>153834</xdr:rowOff>
    </xdr:to>
    <xdr:sp macro="" textlink="">
      <xdr:nvSpPr>
        <xdr:cNvPr id="20" name="TextBox 19">
          <a:extLst>
            <a:ext uri="{FF2B5EF4-FFF2-40B4-BE49-F238E27FC236}">
              <a16:creationId xmlns:a16="http://schemas.microsoft.com/office/drawing/2014/main" id="{1BF9AA4B-F625-46C9-8565-63DB3A2675D8}"/>
            </a:ext>
          </a:extLst>
        </xdr:cNvPr>
        <xdr:cNvSpPr txBox="1"/>
      </xdr:nvSpPr>
      <xdr:spPr>
        <a:xfrm rot="10800000" flipH="1" flipV="1">
          <a:off x="35379564" y="4048605"/>
          <a:ext cx="5485407" cy="1003800"/>
        </a:xfrm>
        <a:prstGeom prst="rect">
          <a:avLst/>
        </a:prstGeom>
        <a:solidFill>
          <a:schemeClr val="accent5">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4000" b="1"/>
        </a:p>
      </xdr:txBody>
    </xdr:sp>
    <xdr:clientData/>
  </xdr:twoCellAnchor>
  <xdr:twoCellAnchor>
    <xdr:from>
      <xdr:col>20</xdr:col>
      <xdr:colOff>610592</xdr:colOff>
      <xdr:row>8</xdr:row>
      <xdr:rowOff>183674</xdr:rowOff>
    </xdr:from>
    <xdr:to>
      <xdr:col>30</xdr:col>
      <xdr:colOff>2482</xdr:colOff>
      <xdr:row>14</xdr:row>
      <xdr:rowOff>127500</xdr:rowOff>
    </xdr:to>
    <xdr:sp macro="" textlink="">
      <xdr:nvSpPr>
        <xdr:cNvPr id="21" name="TextBox 20">
          <a:extLst>
            <a:ext uri="{FF2B5EF4-FFF2-40B4-BE49-F238E27FC236}">
              <a16:creationId xmlns:a16="http://schemas.microsoft.com/office/drawing/2014/main" id="{E77FCAA9-2BEF-4EC1-A621-68621F84A5BE}"/>
            </a:ext>
          </a:extLst>
        </xdr:cNvPr>
        <xdr:cNvSpPr txBox="1"/>
      </xdr:nvSpPr>
      <xdr:spPr>
        <a:xfrm>
          <a:off x="12822449" y="1653068"/>
          <a:ext cx="5497818" cy="1060764"/>
        </a:xfrm>
        <a:prstGeom prst="rect">
          <a:avLst/>
        </a:prstGeom>
        <a:solidFill>
          <a:schemeClr val="accent5">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t>AVERAGE</a:t>
          </a:r>
          <a:r>
            <a:rPr lang="en-IN" sz="4000" b="1" baseline="0"/>
            <a:t> TRAVEL TIME </a:t>
          </a:r>
        </a:p>
      </xdr:txBody>
    </xdr:sp>
    <xdr:clientData/>
  </xdr:twoCellAnchor>
  <xdr:twoCellAnchor>
    <xdr:from>
      <xdr:col>31</xdr:col>
      <xdr:colOff>1</xdr:colOff>
      <xdr:row>9</xdr:row>
      <xdr:rowOff>1118</xdr:rowOff>
    </xdr:from>
    <xdr:to>
      <xdr:col>40</xdr:col>
      <xdr:colOff>1</xdr:colOff>
      <xdr:row>14</xdr:row>
      <xdr:rowOff>112290</xdr:rowOff>
    </xdr:to>
    <xdr:sp macro="" textlink="">
      <xdr:nvSpPr>
        <xdr:cNvPr id="22" name="TextBox 21">
          <a:extLst>
            <a:ext uri="{FF2B5EF4-FFF2-40B4-BE49-F238E27FC236}">
              <a16:creationId xmlns:a16="http://schemas.microsoft.com/office/drawing/2014/main" id="{92316F71-3FBA-42F7-B3BE-EACB5AB21A4A}"/>
            </a:ext>
          </a:extLst>
        </xdr:cNvPr>
        <xdr:cNvSpPr txBox="1"/>
      </xdr:nvSpPr>
      <xdr:spPr>
        <a:xfrm>
          <a:off x="18897601" y="1568661"/>
          <a:ext cx="5486400" cy="1003800"/>
        </a:xfrm>
        <a:prstGeom prst="rect">
          <a:avLst/>
        </a:prstGeom>
        <a:solidFill>
          <a:schemeClr val="accent5">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t>MAJOR</a:t>
          </a:r>
          <a:r>
            <a:rPr lang="en-IN" sz="4000" b="1" baseline="0"/>
            <a:t> DELAY FACTOR </a:t>
          </a:r>
        </a:p>
      </xdr:txBody>
    </xdr:sp>
    <xdr:clientData/>
  </xdr:twoCellAnchor>
  <xdr:twoCellAnchor>
    <xdr:from>
      <xdr:col>41</xdr:col>
      <xdr:colOff>1</xdr:colOff>
      <xdr:row>9</xdr:row>
      <xdr:rowOff>794</xdr:rowOff>
    </xdr:from>
    <xdr:to>
      <xdr:col>51</xdr:col>
      <xdr:colOff>1</xdr:colOff>
      <xdr:row>14</xdr:row>
      <xdr:rowOff>129540</xdr:rowOff>
    </xdr:to>
    <xdr:sp macro="" textlink="">
      <xdr:nvSpPr>
        <xdr:cNvPr id="23" name="TextBox 22">
          <a:extLst>
            <a:ext uri="{FF2B5EF4-FFF2-40B4-BE49-F238E27FC236}">
              <a16:creationId xmlns:a16="http://schemas.microsoft.com/office/drawing/2014/main" id="{36DF08F5-AB5F-4AFA-805A-B4FBEFC1F261}"/>
            </a:ext>
          </a:extLst>
        </xdr:cNvPr>
        <xdr:cNvSpPr txBox="1"/>
      </xdr:nvSpPr>
      <xdr:spPr>
        <a:xfrm>
          <a:off x="24993601" y="1568337"/>
          <a:ext cx="6096000" cy="1021374"/>
        </a:xfrm>
        <a:prstGeom prst="rect">
          <a:avLst/>
        </a:prstGeom>
        <a:solidFill>
          <a:schemeClr val="accent5">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t>HIGH/CONGESTED</a:t>
          </a:r>
          <a:r>
            <a:rPr lang="en-IN" sz="4000" b="1" baseline="0"/>
            <a:t> TRAFFIC</a:t>
          </a:r>
        </a:p>
      </xdr:txBody>
    </xdr:sp>
    <xdr:clientData/>
  </xdr:twoCellAnchor>
  <xdr:twoCellAnchor>
    <xdr:from>
      <xdr:col>11</xdr:col>
      <xdr:colOff>2042</xdr:colOff>
      <xdr:row>8</xdr:row>
      <xdr:rowOff>181817</xdr:rowOff>
    </xdr:from>
    <xdr:to>
      <xdr:col>19</xdr:col>
      <xdr:colOff>608782</xdr:colOff>
      <xdr:row>14</xdr:row>
      <xdr:rowOff>137140</xdr:rowOff>
    </xdr:to>
    <xdr:sp macro="" textlink="">
      <xdr:nvSpPr>
        <xdr:cNvPr id="8" name="TextBox 7">
          <a:extLst>
            <a:ext uri="{FF2B5EF4-FFF2-40B4-BE49-F238E27FC236}">
              <a16:creationId xmlns:a16="http://schemas.microsoft.com/office/drawing/2014/main" id="{35FDC6E3-74E6-F0AD-D998-5F7869F5E7A7}"/>
            </a:ext>
          </a:extLst>
        </xdr:cNvPr>
        <xdr:cNvSpPr txBox="1"/>
      </xdr:nvSpPr>
      <xdr:spPr>
        <a:xfrm>
          <a:off x="6698653" y="1652702"/>
          <a:ext cx="5477003" cy="1072787"/>
        </a:xfrm>
        <a:prstGeom prst="rect">
          <a:avLst/>
        </a:prstGeom>
        <a:solidFill>
          <a:schemeClr val="accent5">
            <a:lumMod val="60000"/>
            <a:lumOff val="4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a:solidFill>
                <a:schemeClr val="dk1"/>
              </a:solidFill>
              <a:effectLst/>
              <a:latin typeface="+mn-lt"/>
              <a:ea typeface="+mn-ea"/>
              <a:cs typeface="+mn-cs"/>
            </a:rPr>
            <a:t>AVERAGE SPEED</a:t>
          </a:r>
          <a:endParaRPr lang="en-IN" sz="4000" b="1">
            <a:effectLst/>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mol" refreshedDate="46298.81334641204" createdVersion="8" refreshedVersion="8" minRefreshableVersion="3" recordCount="200" xr:uid="{E482077C-DEA3-453E-9A4A-E8DABCEFFF36}">
  <cacheSource type="worksheet">
    <worksheetSource name="Table1"/>
  </cacheSource>
  <cacheFields count="10">
    <cacheField name="Timestamp" numFmtId="164">
      <sharedItems containsSemiMixedTypes="0" containsNonDate="0" containsDate="1" containsString="0" minDate="2026-09-01T00:00:00" maxDate="2026-10-01T00:00:00"/>
    </cacheField>
    <cacheField name="Location" numFmtId="0">
      <sharedItems count="8">
        <s v="Outer Ring Road (IIT Delhi)"/>
        <s v="NH8 (near Airport)"/>
        <s v="DND Flyway"/>
        <s v="AIIMS Crossing"/>
        <s v="Chandni Chowk"/>
        <s v="India Gate Circle"/>
        <s v="Rajiv Chowk Metro Area"/>
        <s v="Connaught Place"/>
      </sharedItems>
    </cacheField>
    <cacheField name="Latitude" numFmtId="0">
      <sharedItems containsSemiMixedTypes="0" containsString="0" containsNumber="1" minValue="28.545300000000001" maxValue="28.656199999999998"/>
    </cacheField>
    <cacheField name="Longitude" numFmtId="0">
      <sharedItems containsSemiMixedTypes="0" containsString="0" containsNumber="1" minValue="77.099999999999994" maxValue="77.281300000000002"/>
    </cacheField>
    <cacheField name="Road_Type" numFmtId="0">
      <sharedItems count="3">
        <s v="Arterial"/>
        <s v="Highway"/>
        <s v="Collector"/>
      </sharedItems>
    </cacheField>
    <cacheField name="Vehicle_Type" numFmtId="0">
      <sharedItems count="5">
        <s v="Truck"/>
        <s v="Car"/>
        <s v="Bus"/>
        <s v="Motorcycle"/>
        <s v="Auto Rickshaw"/>
      </sharedItems>
    </cacheField>
    <cacheField name="Speed_kmh" numFmtId="0">
      <sharedItems containsSemiMixedTypes="0" containsString="0" containsNumber="1" containsInteger="1" minValue="3" maxValue="87"/>
    </cacheField>
    <cacheField name="Travel_Time_mins" numFmtId="0">
      <sharedItems containsSemiMixedTypes="0" containsString="0" containsNumber="1" minValue="3.45" maxValue="100"/>
    </cacheField>
    <cacheField name="Traffic_Condition" numFmtId="0">
      <sharedItems count="4">
        <s v="Congested"/>
        <s v="Medium"/>
        <s v="High"/>
        <s v="Low"/>
      </sharedItems>
    </cacheField>
    <cacheField name="Weather" numFmtId="0">
      <sharedItems count="4">
        <s v="Clear"/>
        <s v="Rain"/>
        <s v="Hazy"/>
        <s v="Cloudy"/>
      </sharedItems>
    </cacheField>
  </cacheFields>
  <extLst>
    <ext xmlns:x14="http://schemas.microsoft.com/office/spreadsheetml/2009/9/main" uri="{725AE2AE-9491-48be-B2B4-4EB974FC3084}">
      <x14:pivotCacheDefinition pivotCacheId="11880860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6-09-14T20:15:41"/>
    <x v="0"/>
    <n v="28.545300000000001"/>
    <n v="77.192499999999995"/>
    <x v="0"/>
    <x v="0"/>
    <n v="6"/>
    <n v="50"/>
    <x v="0"/>
    <x v="0"/>
  </r>
  <r>
    <d v="2026-09-03T04:27:44"/>
    <x v="0"/>
    <n v="28.545300000000001"/>
    <n v="77.192499999999995"/>
    <x v="0"/>
    <x v="1"/>
    <n v="24"/>
    <n v="12.5"/>
    <x v="1"/>
    <x v="1"/>
  </r>
  <r>
    <d v="2026-09-05T08:55:29"/>
    <x v="1"/>
    <n v="28.5562"/>
    <n v="77.099999999999994"/>
    <x v="1"/>
    <x v="1"/>
    <n v="55"/>
    <n v="5.45"/>
    <x v="1"/>
    <x v="0"/>
  </r>
  <r>
    <d v="2026-09-24T00:36:11"/>
    <x v="0"/>
    <n v="28.545300000000001"/>
    <n v="77.192499999999995"/>
    <x v="0"/>
    <x v="1"/>
    <n v="28"/>
    <n v="10.71"/>
    <x v="1"/>
    <x v="0"/>
  </r>
  <r>
    <d v="2026-09-19T15:40:42"/>
    <x v="2"/>
    <n v="28.571400000000001"/>
    <n v="77.281300000000002"/>
    <x v="1"/>
    <x v="2"/>
    <n v="56"/>
    <n v="5.36"/>
    <x v="1"/>
    <x v="0"/>
  </r>
  <r>
    <d v="2026-09-17T18:12:40"/>
    <x v="0"/>
    <n v="28.545300000000001"/>
    <n v="77.192499999999995"/>
    <x v="0"/>
    <x v="3"/>
    <n v="37"/>
    <n v="8.11"/>
    <x v="1"/>
    <x v="0"/>
  </r>
  <r>
    <d v="2026-09-11T01:19:36"/>
    <x v="3"/>
    <n v="28.567599999999999"/>
    <n v="77.209599999999995"/>
    <x v="0"/>
    <x v="3"/>
    <n v="13"/>
    <n v="23.08"/>
    <x v="2"/>
    <x v="0"/>
  </r>
  <r>
    <d v="2026-09-25T18:34:22"/>
    <x v="4"/>
    <n v="28.656199999999998"/>
    <n v="77.231499999999997"/>
    <x v="2"/>
    <x v="1"/>
    <n v="25"/>
    <n v="12"/>
    <x v="1"/>
    <x v="0"/>
  </r>
  <r>
    <d v="2026-09-26T08:33:46"/>
    <x v="2"/>
    <n v="28.571400000000001"/>
    <n v="77.281300000000002"/>
    <x v="1"/>
    <x v="4"/>
    <n v="57"/>
    <n v="5.26"/>
    <x v="1"/>
    <x v="0"/>
  </r>
  <r>
    <d v="2026-09-07T13:23:13"/>
    <x v="5"/>
    <n v="28.6129"/>
    <n v="77.229500000000002"/>
    <x v="0"/>
    <x v="1"/>
    <n v="27"/>
    <n v="11.11"/>
    <x v="2"/>
    <x v="0"/>
  </r>
  <r>
    <d v="2026-09-10T14:50:03"/>
    <x v="3"/>
    <n v="28.567599999999999"/>
    <n v="77.209599999999995"/>
    <x v="0"/>
    <x v="4"/>
    <n v="37"/>
    <n v="8.11"/>
    <x v="1"/>
    <x v="0"/>
  </r>
  <r>
    <d v="2026-09-27T12:32:34"/>
    <x v="4"/>
    <n v="28.656199999999998"/>
    <n v="77.231499999999997"/>
    <x v="2"/>
    <x v="1"/>
    <n v="19"/>
    <n v="15.79"/>
    <x v="1"/>
    <x v="0"/>
  </r>
  <r>
    <d v="2026-09-25T01:05:08"/>
    <x v="5"/>
    <n v="28.6129"/>
    <n v="77.229500000000002"/>
    <x v="0"/>
    <x v="1"/>
    <n v="40"/>
    <n v="7.5"/>
    <x v="3"/>
    <x v="2"/>
  </r>
  <r>
    <d v="2026-09-12T08:48:14"/>
    <x v="6"/>
    <n v="28.6328"/>
    <n v="77.219499999999996"/>
    <x v="0"/>
    <x v="2"/>
    <n v="22"/>
    <n v="13.64"/>
    <x v="2"/>
    <x v="0"/>
  </r>
  <r>
    <d v="2026-09-28T02:31:58"/>
    <x v="6"/>
    <n v="28.6328"/>
    <n v="77.219499999999996"/>
    <x v="0"/>
    <x v="4"/>
    <n v="6"/>
    <n v="50"/>
    <x v="0"/>
    <x v="2"/>
  </r>
  <r>
    <d v="2026-09-26T19:03:19"/>
    <x v="0"/>
    <n v="28.545300000000001"/>
    <n v="77.192499999999995"/>
    <x v="0"/>
    <x v="1"/>
    <n v="36"/>
    <n v="8.33"/>
    <x v="1"/>
    <x v="0"/>
  </r>
  <r>
    <d v="2026-09-09T03:51:33"/>
    <x v="5"/>
    <n v="28.6129"/>
    <n v="77.229500000000002"/>
    <x v="0"/>
    <x v="1"/>
    <n v="39"/>
    <n v="7.69"/>
    <x v="1"/>
    <x v="3"/>
  </r>
  <r>
    <d v="2026-09-23T03:37:05"/>
    <x v="3"/>
    <n v="28.567599999999999"/>
    <n v="77.209599999999995"/>
    <x v="0"/>
    <x v="0"/>
    <n v="27"/>
    <n v="11.11"/>
    <x v="1"/>
    <x v="0"/>
  </r>
  <r>
    <d v="2026-09-12T22:47:38"/>
    <x v="5"/>
    <n v="28.6129"/>
    <n v="77.229500000000002"/>
    <x v="0"/>
    <x v="4"/>
    <n v="13"/>
    <n v="23.08"/>
    <x v="2"/>
    <x v="0"/>
  </r>
  <r>
    <d v="2026-09-10T21:49:45"/>
    <x v="6"/>
    <n v="28.6328"/>
    <n v="77.219499999999996"/>
    <x v="0"/>
    <x v="0"/>
    <n v="36"/>
    <n v="8.33"/>
    <x v="1"/>
    <x v="0"/>
  </r>
  <r>
    <d v="2026-09-19T01:41:18"/>
    <x v="3"/>
    <n v="28.567599999999999"/>
    <n v="77.209599999999995"/>
    <x v="0"/>
    <x v="4"/>
    <n v="15"/>
    <n v="20"/>
    <x v="0"/>
    <x v="0"/>
  </r>
  <r>
    <d v="2026-09-03T07:57:35"/>
    <x v="0"/>
    <n v="28.545300000000001"/>
    <n v="77.192499999999995"/>
    <x v="0"/>
    <x v="1"/>
    <n v="13"/>
    <n v="23.08"/>
    <x v="2"/>
    <x v="0"/>
  </r>
  <r>
    <d v="2026-09-22T13:37:41"/>
    <x v="2"/>
    <n v="28.571400000000001"/>
    <n v="77.281300000000002"/>
    <x v="1"/>
    <x v="4"/>
    <n v="69"/>
    <n v="4.3499999999999996"/>
    <x v="1"/>
    <x v="0"/>
  </r>
  <r>
    <d v="2026-09-14T13:15:59"/>
    <x v="5"/>
    <n v="28.6129"/>
    <n v="77.229500000000002"/>
    <x v="0"/>
    <x v="3"/>
    <n v="35"/>
    <n v="8.57"/>
    <x v="1"/>
    <x v="0"/>
  </r>
  <r>
    <d v="2026-09-10T11:20:12"/>
    <x v="6"/>
    <n v="28.6328"/>
    <n v="77.219499999999996"/>
    <x v="0"/>
    <x v="1"/>
    <n v="36"/>
    <n v="8.33"/>
    <x v="3"/>
    <x v="0"/>
  </r>
  <r>
    <d v="2026-09-09T17:50:57"/>
    <x v="6"/>
    <n v="28.6328"/>
    <n v="77.219499999999996"/>
    <x v="0"/>
    <x v="4"/>
    <n v="30"/>
    <n v="10"/>
    <x v="3"/>
    <x v="2"/>
  </r>
  <r>
    <d v="2026-09-13T05:47:20"/>
    <x v="5"/>
    <n v="28.6129"/>
    <n v="77.229500000000002"/>
    <x v="0"/>
    <x v="3"/>
    <n v="15"/>
    <n v="20"/>
    <x v="0"/>
    <x v="0"/>
  </r>
  <r>
    <d v="2026-09-10T18:19:54"/>
    <x v="2"/>
    <n v="28.571400000000001"/>
    <n v="77.281300000000002"/>
    <x v="1"/>
    <x v="4"/>
    <n v="40"/>
    <n v="7.5"/>
    <x v="1"/>
    <x v="0"/>
  </r>
  <r>
    <d v="2026-09-19T05:11:09"/>
    <x v="1"/>
    <n v="28.5562"/>
    <n v="77.099999999999994"/>
    <x v="1"/>
    <x v="2"/>
    <n v="44"/>
    <n v="6.82"/>
    <x v="1"/>
    <x v="0"/>
  </r>
  <r>
    <d v="2026-09-20T05:40:06"/>
    <x v="0"/>
    <n v="28.545300000000001"/>
    <n v="77.192499999999995"/>
    <x v="0"/>
    <x v="1"/>
    <n v="20"/>
    <n v="15"/>
    <x v="1"/>
    <x v="0"/>
  </r>
  <r>
    <d v="2026-09-02T07:28:39"/>
    <x v="7"/>
    <n v="28.632999999999999"/>
    <n v="77.2196"/>
    <x v="0"/>
    <x v="3"/>
    <n v="14"/>
    <n v="21.43"/>
    <x v="0"/>
    <x v="0"/>
  </r>
  <r>
    <d v="2026-09-03T14:57:17"/>
    <x v="2"/>
    <n v="28.571400000000001"/>
    <n v="77.281300000000002"/>
    <x v="1"/>
    <x v="1"/>
    <n v="87"/>
    <n v="3.45"/>
    <x v="3"/>
    <x v="0"/>
  </r>
  <r>
    <d v="2026-09-09T00:21:43"/>
    <x v="5"/>
    <n v="28.6129"/>
    <n v="77.229500000000002"/>
    <x v="0"/>
    <x v="2"/>
    <n v="35"/>
    <n v="8.57"/>
    <x v="3"/>
    <x v="0"/>
  </r>
  <r>
    <d v="2026-09-11T22:18:42"/>
    <x v="6"/>
    <n v="28.6328"/>
    <n v="77.219499999999996"/>
    <x v="0"/>
    <x v="1"/>
    <n v="25"/>
    <n v="12"/>
    <x v="1"/>
    <x v="0"/>
  </r>
  <r>
    <d v="2026-09-22T20:37:23"/>
    <x v="5"/>
    <n v="28.6129"/>
    <n v="77.229500000000002"/>
    <x v="0"/>
    <x v="3"/>
    <n v="25"/>
    <n v="12"/>
    <x v="1"/>
    <x v="0"/>
  </r>
  <r>
    <d v="2026-09-16T03:44:19"/>
    <x v="2"/>
    <n v="28.571400000000001"/>
    <n v="77.281300000000002"/>
    <x v="1"/>
    <x v="3"/>
    <n v="28"/>
    <n v="10.71"/>
    <x v="2"/>
    <x v="0"/>
  </r>
  <r>
    <d v="2026-09-20T16:09:39"/>
    <x v="0"/>
    <n v="28.545300000000001"/>
    <n v="77.192499999999995"/>
    <x v="0"/>
    <x v="1"/>
    <n v="28"/>
    <n v="10.71"/>
    <x v="1"/>
    <x v="0"/>
  </r>
  <r>
    <d v="2026-09-20T23:09:21"/>
    <x v="7"/>
    <n v="28.632999999999999"/>
    <n v="77.2196"/>
    <x v="0"/>
    <x v="4"/>
    <n v="44"/>
    <n v="6.82"/>
    <x v="3"/>
    <x v="0"/>
  </r>
  <r>
    <d v="2026-09-24T21:35:17"/>
    <x v="7"/>
    <n v="28.632999999999999"/>
    <n v="77.2196"/>
    <x v="0"/>
    <x v="4"/>
    <n v="25"/>
    <n v="12"/>
    <x v="2"/>
    <x v="3"/>
  </r>
  <r>
    <d v="2026-09-12T01:48:33"/>
    <x v="6"/>
    <n v="28.6328"/>
    <n v="77.219499999999996"/>
    <x v="0"/>
    <x v="0"/>
    <n v="33"/>
    <n v="9.09"/>
    <x v="1"/>
    <x v="0"/>
  </r>
  <r>
    <d v="2026-09-12T12:18:05"/>
    <x v="3"/>
    <n v="28.567599999999999"/>
    <n v="77.209599999999995"/>
    <x v="0"/>
    <x v="2"/>
    <n v="26"/>
    <n v="11.54"/>
    <x v="1"/>
    <x v="3"/>
  </r>
  <r>
    <d v="2026-09-29T17:00:18"/>
    <x v="5"/>
    <n v="28.6129"/>
    <n v="77.229500000000002"/>
    <x v="0"/>
    <x v="2"/>
    <n v="11"/>
    <n v="27.27"/>
    <x v="2"/>
    <x v="0"/>
  </r>
  <r>
    <d v="2026-09-06T12:54:16"/>
    <x v="7"/>
    <n v="28.632999999999999"/>
    <n v="77.2196"/>
    <x v="0"/>
    <x v="2"/>
    <n v="28"/>
    <n v="10.71"/>
    <x v="1"/>
    <x v="0"/>
  </r>
  <r>
    <d v="2026-09-04T11:56:23"/>
    <x v="2"/>
    <n v="28.571400000000001"/>
    <n v="77.281300000000002"/>
    <x v="1"/>
    <x v="4"/>
    <n v="75"/>
    <n v="4"/>
    <x v="3"/>
    <x v="0"/>
  </r>
  <r>
    <d v="2026-09-18T18:41:36"/>
    <x v="7"/>
    <n v="28.632999999999999"/>
    <n v="77.2196"/>
    <x v="0"/>
    <x v="0"/>
    <n v="23"/>
    <n v="13.04"/>
    <x v="1"/>
    <x v="0"/>
  </r>
  <r>
    <d v="2026-09-29T10:00:36"/>
    <x v="4"/>
    <n v="28.656199999999998"/>
    <n v="77.231499999999997"/>
    <x v="2"/>
    <x v="0"/>
    <n v="27"/>
    <n v="11.11"/>
    <x v="3"/>
    <x v="0"/>
  </r>
  <r>
    <d v="2026-09-05T05:25:38"/>
    <x v="7"/>
    <n v="28.632999999999999"/>
    <n v="77.2196"/>
    <x v="0"/>
    <x v="0"/>
    <n v="37"/>
    <n v="8.11"/>
    <x v="1"/>
    <x v="0"/>
  </r>
  <r>
    <d v="2026-09-03T18:27:08"/>
    <x v="5"/>
    <n v="28.6129"/>
    <n v="77.229500000000002"/>
    <x v="0"/>
    <x v="2"/>
    <n v="20"/>
    <n v="15"/>
    <x v="2"/>
    <x v="0"/>
  </r>
  <r>
    <d v="2026-09-21T20:08:27"/>
    <x v="0"/>
    <n v="28.545300000000001"/>
    <n v="77.192499999999995"/>
    <x v="0"/>
    <x v="4"/>
    <n v="38"/>
    <n v="7.89"/>
    <x v="1"/>
    <x v="0"/>
  </r>
  <r>
    <d v="2026-09-13T12:47:02"/>
    <x v="1"/>
    <n v="28.5562"/>
    <n v="77.099999999999994"/>
    <x v="1"/>
    <x v="1"/>
    <n v="7"/>
    <n v="42.86"/>
    <x v="0"/>
    <x v="0"/>
  </r>
  <r>
    <d v="2026-09-17T14:42:49"/>
    <x v="6"/>
    <n v="28.6328"/>
    <n v="77.219499999999996"/>
    <x v="0"/>
    <x v="2"/>
    <n v="21"/>
    <n v="14.29"/>
    <x v="1"/>
    <x v="0"/>
  </r>
  <r>
    <d v="2026-09-26T05:03:55"/>
    <x v="6"/>
    <n v="28.6328"/>
    <n v="77.219499999999996"/>
    <x v="0"/>
    <x v="2"/>
    <n v="12"/>
    <n v="25"/>
    <x v="0"/>
    <x v="0"/>
  </r>
  <r>
    <d v="2026-09-01T17:29:15"/>
    <x v="5"/>
    <n v="28.6129"/>
    <n v="77.229500000000002"/>
    <x v="0"/>
    <x v="3"/>
    <n v="8"/>
    <n v="37.5"/>
    <x v="0"/>
    <x v="0"/>
  </r>
  <r>
    <d v="2026-09-19T08:41:00"/>
    <x v="2"/>
    <n v="28.571400000000001"/>
    <n v="77.281300000000002"/>
    <x v="1"/>
    <x v="0"/>
    <n v="69"/>
    <n v="4.3499999999999996"/>
    <x v="1"/>
    <x v="3"/>
  </r>
  <r>
    <d v="2026-09-18T01:12:22"/>
    <x v="0"/>
    <n v="28.545300000000001"/>
    <n v="77.192499999999995"/>
    <x v="0"/>
    <x v="4"/>
    <n v="38"/>
    <n v="7.89"/>
    <x v="1"/>
    <x v="3"/>
  </r>
  <r>
    <d v="2026-09-11T15:19:00"/>
    <x v="0"/>
    <n v="28.545300000000001"/>
    <n v="77.192499999999995"/>
    <x v="0"/>
    <x v="3"/>
    <n v="40"/>
    <n v="7.5"/>
    <x v="1"/>
    <x v="0"/>
  </r>
  <r>
    <d v="2026-09-21T09:38:54"/>
    <x v="0"/>
    <n v="28.545300000000001"/>
    <n v="77.192499999999995"/>
    <x v="0"/>
    <x v="3"/>
    <n v="11"/>
    <n v="27.27"/>
    <x v="0"/>
    <x v="2"/>
  </r>
  <r>
    <d v="2026-09-15T06:45:14"/>
    <x v="0"/>
    <n v="28.545300000000001"/>
    <n v="77.192499999999995"/>
    <x v="0"/>
    <x v="3"/>
    <n v="37"/>
    <n v="8.11"/>
    <x v="3"/>
    <x v="3"/>
  </r>
  <r>
    <d v="2026-09-26T01:34:04"/>
    <x v="6"/>
    <n v="28.6328"/>
    <n v="77.219499999999996"/>
    <x v="0"/>
    <x v="2"/>
    <n v="18"/>
    <n v="16.670000000000002"/>
    <x v="2"/>
    <x v="0"/>
  </r>
  <r>
    <d v="2026-09-14T23:45:32"/>
    <x v="5"/>
    <n v="28.6129"/>
    <n v="77.229500000000002"/>
    <x v="0"/>
    <x v="4"/>
    <n v="20"/>
    <n v="15"/>
    <x v="1"/>
    <x v="0"/>
  </r>
  <r>
    <d v="2026-09-25T15:04:31"/>
    <x v="3"/>
    <n v="28.567599999999999"/>
    <n v="77.209599999999995"/>
    <x v="0"/>
    <x v="2"/>
    <n v="20"/>
    <n v="15"/>
    <x v="2"/>
    <x v="2"/>
  </r>
  <r>
    <d v="2026-09-15T03:15:23"/>
    <x v="3"/>
    <n v="28.567599999999999"/>
    <n v="77.209599999999995"/>
    <x v="0"/>
    <x v="0"/>
    <n v="19"/>
    <n v="15.79"/>
    <x v="2"/>
    <x v="0"/>
  </r>
  <r>
    <d v="2026-09-05T12:25:20"/>
    <x v="5"/>
    <n v="28.6129"/>
    <n v="77.229500000000002"/>
    <x v="0"/>
    <x v="4"/>
    <n v="30"/>
    <n v="10"/>
    <x v="2"/>
    <x v="0"/>
  </r>
  <r>
    <d v="2026-09-02T17:58:11"/>
    <x v="0"/>
    <n v="28.545300000000001"/>
    <n v="77.192499999999995"/>
    <x v="0"/>
    <x v="1"/>
    <n v="27"/>
    <n v="11.11"/>
    <x v="2"/>
    <x v="0"/>
  </r>
  <r>
    <d v="2026-09-06T02:24:43"/>
    <x v="5"/>
    <n v="28.6129"/>
    <n v="77.229500000000002"/>
    <x v="0"/>
    <x v="2"/>
    <n v="37"/>
    <n v="8.11"/>
    <x v="3"/>
    <x v="0"/>
  </r>
  <r>
    <d v="2026-09-18T08:12:04"/>
    <x v="3"/>
    <n v="28.567599999999999"/>
    <n v="77.209599999999995"/>
    <x v="0"/>
    <x v="1"/>
    <n v="29"/>
    <n v="10.34"/>
    <x v="1"/>
    <x v="0"/>
  </r>
  <r>
    <d v="2026-09-07T02:53:40"/>
    <x v="0"/>
    <n v="28.545300000000001"/>
    <n v="77.192499999999995"/>
    <x v="0"/>
    <x v="4"/>
    <n v="26"/>
    <n v="11.54"/>
    <x v="2"/>
    <x v="0"/>
  </r>
  <r>
    <d v="2026-09-28T13:01:30"/>
    <x v="1"/>
    <n v="28.5562"/>
    <n v="77.099999999999994"/>
    <x v="1"/>
    <x v="3"/>
    <n v="62"/>
    <n v="4.84"/>
    <x v="1"/>
    <x v="0"/>
  </r>
  <r>
    <d v="2026-09-14T02:46:26"/>
    <x v="5"/>
    <n v="28.6129"/>
    <n v="77.229500000000002"/>
    <x v="0"/>
    <x v="4"/>
    <n v="10"/>
    <n v="30"/>
    <x v="0"/>
    <x v="0"/>
  </r>
  <r>
    <d v="2026-09-20T19:39:30"/>
    <x v="7"/>
    <n v="28.632999999999999"/>
    <n v="77.2196"/>
    <x v="0"/>
    <x v="2"/>
    <n v="31"/>
    <n v="9.68"/>
    <x v="1"/>
    <x v="0"/>
  </r>
  <r>
    <d v="2026-09-08T10:22:19"/>
    <x v="5"/>
    <n v="28.6129"/>
    <n v="77.229500000000002"/>
    <x v="0"/>
    <x v="1"/>
    <n v="20"/>
    <n v="15"/>
    <x v="1"/>
    <x v="2"/>
  </r>
  <r>
    <d v="2026-09-19T12:10:51"/>
    <x v="3"/>
    <n v="28.567599999999999"/>
    <n v="77.209599999999995"/>
    <x v="0"/>
    <x v="0"/>
    <n v="26"/>
    <n v="11.54"/>
    <x v="1"/>
    <x v="0"/>
  </r>
  <r>
    <d v="2026-09-24T14:35:35"/>
    <x v="5"/>
    <n v="28.6129"/>
    <n v="77.229500000000002"/>
    <x v="0"/>
    <x v="4"/>
    <n v="38"/>
    <n v="7.89"/>
    <x v="3"/>
    <x v="2"/>
  </r>
  <r>
    <d v="2026-09-06T23:23:49"/>
    <x v="4"/>
    <n v="28.656199999999998"/>
    <n v="77.231499999999997"/>
    <x v="2"/>
    <x v="4"/>
    <n v="19"/>
    <n v="15.79"/>
    <x v="2"/>
    <x v="2"/>
  </r>
  <r>
    <d v="2026-09-18T04:42:13"/>
    <x v="3"/>
    <n v="28.567599999999999"/>
    <n v="77.209599999999995"/>
    <x v="0"/>
    <x v="3"/>
    <n v="23"/>
    <n v="13.04"/>
    <x v="1"/>
    <x v="2"/>
  </r>
  <r>
    <d v="2026-09-17T11:12:58"/>
    <x v="7"/>
    <n v="28.632999999999999"/>
    <n v="77.2196"/>
    <x v="0"/>
    <x v="1"/>
    <n v="50"/>
    <n v="6"/>
    <x v="3"/>
    <x v="0"/>
  </r>
  <r>
    <d v="2026-09-04T18:56:05"/>
    <x v="3"/>
    <n v="28.567599999999999"/>
    <n v="77.209599999999995"/>
    <x v="0"/>
    <x v="1"/>
    <n v="39"/>
    <n v="7.69"/>
    <x v="1"/>
    <x v="0"/>
  </r>
  <r>
    <d v="2026-09-21T06:09:03"/>
    <x v="1"/>
    <n v="28.5562"/>
    <n v="77.099999999999994"/>
    <x v="1"/>
    <x v="4"/>
    <n v="42"/>
    <n v="7.14"/>
    <x v="2"/>
    <x v="0"/>
  </r>
  <r>
    <d v="2026-09-15T13:44:55"/>
    <x v="7"/>
    <n v="28.632999999999999"/>
    <n v="77.2196"/>
    <x v="0"/>
    <x v="4"/>
    <n v="33"/>
    <n v="9.09"/>
    <x v="3"/>
    <x v="2"/>
  </r>
  <r>
    <d v="2026-09-17T04:13:16"/>
    <x v="5"/>
    <n v="28.6129"/>
    <n v="77.229500000000002"/>
    <x v="0"/>
    <x v="3"/>
    <n v="15"/>
    <n v="20"/>
    <x v="0"/>
    <x v="3"/>
  </r>
  <r>
    <d v="2026-09-01T06:59:42"/>
    <x v="4"/>
    <n v="28.656199999999998"/>
    <n v="77.231499999999997"/>
    <x v="2"/>
    <x v="2"/>
    <n v="20"/>
    <n v="15"/>
    <x v="1"/>
    <x v="1"/>
  </r>
  <r>
    <d v="2026-09-12T05:18:24"/>
    <x v="6"/>
    <n v="28.6328"/>
    <n v="77.219499999999996"/>
    <x v="0"/>
    <x v="3"/>
    <n v="38"/>
    <n v="7.89"/>
    <x v="3"/>
    <x v="2"/>
  </r>
  <r>
    <d v="2026-09-07T16:53:04"/>
    <x v="6"/>
    <n v="28.6328"/>
    <n v="77.219499999999996"/>
    <x v="0"/>
    <x v="4"/>
    <n v="24"/>
    <n v="12.5"/>
    <x v="1"/>
    <x v="0"/>
  </r>
  <r>
    <d v="2026-09-28T06:01:49"/>
    <x v="3"/>
    <n v="28.567599999999999"/>
    <n v="77.209599999999995"/>
    <x v="0"/>
    <x v="2"/>
    <n v="22"/>
    <n v="13.64"/>
    <x v="2"/>
    <x v="0"/>
  </r>
  <r>
    <d v="2026-09-28T20:01:12"/>
    <x v="6"/>
    <n v="28.6328"/>
    <n v="77.219499999999996"/>
    <x v="0"/>
    <x v="4"/>
    <n v="14"/>
    <n v="21.43"/>
    <x v="0"/>
    <x v="0"/>
  </r>
  <r>
    <d v="2026-09-13T09:17:11"/>
    <x v="3"/>
    <n v="28.567599999999999"/>
    <n v="77.209599999999995"/>
    <x v="0"/>
    <x v="4"/>
    <n v="31"/>
    <n v="9.68"/>
    <x v="1"/>
    <x v="0"/>
  </r>
  <r>
    <d v="2026-09-24T11:05:44"/>
    <x v="2"/>
    <n v="28.571400000000001"/>
    <n v="77.281300000000002"/>
    <x v="1"/>
    <x v="4"/>
    <n v="41"/>
    <n v="7.32"/>
    <x v="1"/>
    <x v="0"/>
  </r>
  <r>
    <d v="2026-09-06T05:54:34"/>
    <x v="7"/>
    <n v="28.632999999999999"/>
    <n v="77.2196"/>
    <x v="0"/>
    <x v="0"/>
    <n v="15"/>
    <n v="20"/>
    <x v="2"/>
    <x v="3"/>
  </r>
  <r>
    <d v="2026-09-28T16:31:21"/>
    <x v="6"/>
    <n v="28.6328"/>
    <n v="77.219499999999996"/>
    <x v="0"/>
    <x v="0"/>
    <n v="29"/>
    <n v="10.34"/>
    <x v="2"/>
    <x v="0"/>
  </r>
  <r>
    <d v="2026-09-09T21:20:48"/>
    <x v="1"/>
    <n v="28.5562"/>
    <n v="77.099999999999994"/>
    <x v="1"/>
    <x v="2"/>
    <n v="42"/>
    <n v="7.14"/>
    <x v="2"/>
    <x v="0"/>
  </r>
  <r>
    <d v="2026-09-04T04:56:41"/>
    <x v="1"/>
    <n v="28.5562"/>
    <n v="77.099999999999994"/>
    <x v="1"/>
    <x v="3"/>
    <n v="66"/>
    <n v="4.55"/>
    <x v="3"/>
    <x v="3"/>
  </r>
  <r>
    <d v="2026-09-21T13:08:45"/>
    <x v="0"/>
    <n v="28.545300000000001"/>
    <n v="77.192499999999995"/>
    <x v="0"/>
    <x v="3"/>
    <n v="39"/>
    <n v="7.69"/>
    <x v="1"/>
    <x v="0"/>
  </r>
  <r>
    <d v="2026-09-15T17:14:46"/>
    <x v="6"/>
    <n v="28.6328"/>
    <n v="77.219499999999996"/>
    <x v="0"/>
    <x v="3"/>
    <n v="30"/>
    <n v="10"/>
    <x v="3"/>
    <x v="0"/>
  </r>
  <r>
    <d v="2026-09-05T19:25:02"/>
    <x v="0"/>
    <n v="28.545300000000001"/>
    <n v="77.192499999999995"/>
    <x v="0"/>
    <x v="4"/>
    <n v="21"/>
    <n v="14.29"/>
    <x v="1"/>
    <x v="0"/>
  </r>
  <r>
    <d v="2026-09-02T14:28:21"/>
    <x v="4"/>
    <n v="28.656199999999998"/>
    <n v="77.231499999999997"/>
    <x v="2"/>
    <x v="1"/>
    <n v="21"/>
    <n v="14.29"/>
    <x v="1"/>
    <x v="0"/>
  </r>
  <r>
    <d v="2026-09-29T06:30:45"/>
    <x v="0"/>
    <n v="28.545300000000001"/>
    <n v="77.192499999999995"/>
    <x v="0"/>
    <x v="1"/>
    <n v="21"/>
    <n v="14.29"/>
    <x v="2"/>
    <x v="2"/>
  </r>
  <r>
    <d v="2026-09-24T04:06:02"/>
    <x v="3"/>
    <n v="28.567599999999999"/>
    <n v="77.209599999999995"/>
    <x v="0"/>
    <x v="3"/>
    <n v="27"/>
    <n v="11.11"/>
    <x v="1"/>
    <x v="0"/>
  </r>
  <r>
    <d v="2026-09-01T20:59:06"/>
    <x v="4"/>
    <n v="28.656199999999998"/>
    <n v="77.231499999999997"/>
    <x v="2"/>
    <x v="4"/>
    <n v="40"/>
    <n v="7.5"/>
    <x v="3"/>
    <x v="0"/>
  </r>
  <r>
    <d v="2026-09-04T22:25:56"/>
    <x v="1"/>
    <n v="28.5562"/>
    <n v="77.099999999999994"/>
    <x v="1"/>
    <x v="3"/>
    <n v="45"/>
    <n v="6.67"/>
    <x v="1"/>
    <x v="3"/>
  </r>
  <r>
    <d v="2026-09-18T11:41:55"/>
    <x v="0"/>
    <n v="28.545300000000001"/>
    <n v="77.192499999999995"/>
    <x v="0"/>
    <x v="3"/>
    <n v="11"/>
    <n v="27.27"/>
    <x v="0"/>
    <x v="0"/>
  </r>
  <r>
    <d v="2026-09-01T13:59:24"/>
    <x v="4"/>
    <n v="28.656199999999998"/>
    <n v="77.231499999999997"/>
    <x v="2"/>
    <x v="2"/>
    <n v="15"/>
    <n v="20"/>
    <x v="1"/>
    <x v="2"/>
  </r>
  <r>
    <d v="2026-09-05T15:55:11"/>
    <x v="3"/>
    <n v="28.567599999999999"/>
    <n v="77.209599999999995"/>
    <x v="0"/>
    <x v="2"/>
    <n v="22"/>
    <n v="13.64"/>
    <x v="2"/>
    <x v="2"/>
  </r>
  <r>
    <d v="2026-09-21T16:38:36"/>
    <x v="2"/>
    <n v="28.571400000000001"/>
    <n v="77.281300000000002"/>
    <x v="1"/>
    <x v="4"/>
    <n v="40"/>
    <n v="7.5"/>
    <x v="1"/>
    <x v="0"/>
  </r>
  <r>
    <d v="2026-09-22T03:08:08"/>
    <x v="7"/>
    <n v="28.632999999999999"/>
    <n v="77.2196"/>
    <x v="0"/>
    <x v="1"/>
    <n v="22"/>
    <n v="13.64"/>
    <x v="2"/>
    <x v="2"/>
  </r>
  <r>
    <d v="2026-09-16T21:13:34"/>
    <x v="0"/>
    <n v="28.545300000000001"/>
    <n v="77.192499999999995"/>
    <x v="0"/>
    <x v="1"/>
    <n v="8"/>
    <n v="37.5"/>
    <x v="0"/>
    <x v="0"/>
  </r>
  <r>
    <d v="2026-09-21T23:38:17"/>
    <x v="4"/>
    <n v="28.656199999999998"/>
    <n v="77.231499999999997"/>
    <x v="2"/>
    <x v="2"/>
    <n v="8"/>
    <n v="37.5"/>
    <x v="0"/>
    <x v="3"/>
  </r>
  <r>
    <d v="2026-09-02T10:58:30"/>
    <x v="6"/>
    <n v="28.6328"/>
    <n v="77.219499999999996"/>
    <x v="0"/>
    <x v="0"/>
    <n v="29"/>
    <n v="10.34"/>
    <x v="1"/>
    <x v="3"/>
  </r>
  <r>
    <d v="2026-09-10T00:50:39"/>
    <x v="7"/>
    <n v="28.632999999999999"/>
    <n v="77.2196"/>
    <x v="0"/>
    <x v="2"/>
    <n v="12"/>
    <n v="25"/>
    <x v="2"/>
    <x v="0"/>
  </r>
  <r>
    <d v="2026-09-17T07:43:07"/>
    <x v="0"/>
    <n v="28.545300000000001"/>
    <n v="77.192499999999995"/>
    <x v="0"/>
    <x v="2"/>
    <n v="14"/>
    <n v="21.43"/>
    <x v="0"/>
    <x v="0"/>
  </r>
  <r>
    <d v="2026-09-22T06:37:59"/>
    <x v="1"/>
    <n v="28.5562"/>
    <n v="77.099999999999994"/>
    <x v="1"/>
    <x v="1"/>
    <n v="67"/>
    <n v="4.4800000000000004"/>
    <x v="3"/>
    <x v="0"/>
  </r>
  <r>
    <d v="2026-09-25T04:34:58"/>
    <x v="1"/>
    <n v="28.5562"/>
    <n v="77.099999999999994"/>
    <x v="1"/>
    <x v="3"/>
    <n v="69"/>
    <n v="4.3499999999999996"/>
    <x v="1"/>
    <x v="0"/>
  </r>
  <r>
    <d v="2026-09-01T00:00:00"/>
    <x v="5"/>
    <n v="28.6129"/>
    <n v="77.229500000000002"/>
    <x v="0"/>
    <x v="1"/>
    <n v="11"/>
    <n v="27.27"/>
    <x v="2"/>
    <x v="0"/>
  </r>
  <r>
    <d v="2026-09-29T20:30:09"/>
    <x v="7"/>
    <n v="28.632999999999999"/>
    <n v="77.2196"/>
    <x v="0"/>
    <x v="3"/>
    <n v="43"/>
    <n v="6.98"/>
    <x v="3"/>
    <x v="3"/>
  </r>
  <r>
    <d v="2026-09-23T07:06:56"/>
    <x v="6"/>
    <n v="28.6328"/>
    <n v="77.219499999999996"/>
    <x v="0"/>
    <x v="1"/>
    <n v="18"/>
    <n v="16.670000000000002"/>
    <x v="2"/>
    <x v="0"/>
  </r>
  <r>
    <d v="2026-09-11T04:49:27"/>
    <x v="6"/>
    <n v="28.6328"/>
    <n v="77.219499999999996"/>
    <x v="0"/>
    <x v="3"/>
    <n v="38"/>
    <n v="7.89"/>
    <x v="1"/>
    <x v="3"/>
  </r>
  <r>
    <d v="2026-09-18T22:11:27"/>
    <x v="3"/>
    <n v="28.567599999999999"/>
    <n v="77.209599999999995"/>
    <x v="0"/>
    <x v="1"/>
    <n v="29"/>
    <n v="10.34"/>
    <x v="1"/>
    <x v="0"/>
  </r>
  <r>
    <d v="2026-09-10T07:50:21"/>
    <x v="2"/>
    <n v="28.571400000000001"/>
    <n v="77.281300000000002"/>
    <x v="1"/>
    <x v="2"/>
    <n v="62"/>
    <n v="4.84"/>
    <x v="1"/>
    <x v="2"/>
  </r>
  <r>
    <d v="2026-09-07T09:53:22"/>
    <x v="4"/>
    <n v="28.656199999999998"/>
    <n v="77.231499999999997"/>
    <x v="2"/>
    <x v="2"/>
    <n v="11"/>
    <n v="27.27"/>
    <x v="2"/>
    <x v="2"/>
  </r>
  <r>
    <d v="2026-09-24T18:05:26"/>
    <x v="7"/>
    <n v="28.632999999999999"/>
    <n v="77.2196"/>
    <x v="0"/>
    <x v="0"/>
    <n v="43"/>
    <n v="6.98"/>
    <x v="3"/>
    <x v="0"/>
  </r>
  <r>
    <d v="2026-09-05T01:55:47"/>
    <x v="0"/>
    <n v="28.545300000000001"/>
    <n v="77.192499999999995"/>
    <x v="0"/>
    <x v="0"/>
    <n v="23"/>
    <n v="13.04"/>
    <x v="1"/>
    <x v="0"/>
  </r>
  <r>
    <d v="2026-09-06T19:53:58"/>
    <x v="1"/>
    <n v="28.5562"/>
    <n v="77.099999999999994"/>
    <x v="1"/>
    <x v="0"/>
    <n v="75"/>
    <n v="4"/>
    <x v="3"/>
    <x v="0"/>
  </r>
  <r>
    <d v="2026-09-16T17:43:43"/>
    <x v="1"/>
    <n v="28.5562"/>
    <n v="77.099999999999994"/>
    <x v="1"/>
    <x v="3"/>
    <n v="87"/>
    <n v="3.45"/>
    <x v="3"/>
    <x v="0"/>
  </r>
  <r>
    <d v="2026-09-23T14:06:38"/>
    <x v="0"/>
    <n v="28.545300000000001"/>
    <n v="77.192499999999995"/>
    <x v="0"/>
    <x v="2"/>
    <n v="24"/>
    <n v="12.5"/>
    <x v="1"/>
    <x v="2"/>
  </r>
  <r>
    <d v="2026-09-23T17:36:29"/>
    <x v="3"/>
    <n v="28.567599999999999"/>
    <n v="77.209599999999995"/>
    <x v="0"/>
    <x v="1"/>
    <n v="23"/>
    <n v="13.04"/>
    <x v="1"/>
    <x v="3"/>
  </r>
  <r>
    <d v="2026-09-04T15:26:14"/>
    <x v="5"/>
    <n v="28.6129"/>
    <n v="77.229500000000002"/>
    <x v="0"/>
    <x v="1"/>
    <n v="34"/>
    <n v="8.82"/>
    <x v="1"/>
    <x v="3"/>
  </r>
  <r>
    <d v="2026-09-04T08:26:32"/>
    <x v="2"/>
    <n v="28.571400000000001"/>
    <n v="77.281300000000002"/>
    <x v="1"/>
    <x v="0"/>
    <n v="69"/>
    <n v="4.3499999999999996"/>
    <x v="1"/>
    <x v="0"/>
  </r>
  <r>
    <d v="2026-09-27T19:32:16"/>
    <x v="4"/>
    <n v="28.656199999999998"/>
    <n v="77.231499999999997"/>
    <x v="2"/>
    <x v="3"/>
    <n v="32"/>
    <n v="9.3800000000000008"/>
    <x v="3"/>
    <x v="0"/>
  </r>
  <r>
    <d v="2026-09-22T10:07:50"/>
    <x v="1"/>
    <n v="28.5562"/>
    <n v="77.099999999999994"/>
    <x v="1"/>
    <x v="2"/>
    <n v="72"/>
    <n v="4.17"/>
    <x v="3"/>
    <x v="3"/>
  </r>
  <r>
    <d v="2026-09-12T19:17:47"/>
    <x v="2"/>
    <n v="28.571400000000001"/>
    <n v="77.281300000000002"/>
    <x v="1"/>
    <x v="0"/>
    <n v="60"/>
    <n v="5"/>
    <x v="1"/>
    <x v="0"/>
  </r>
  <r>
    <d v="2026-09-06T16:24:07"/>
    <x v="5"/>
    <n v="28.6129"/>
    <n v="77.229500000000002"/>
    <x v="0"/>
    <x v="3"/>
    <n v="20"/>
    <n v="15"/>
    <x v="1"/>
    <x v="2"/>
  </r>
  <r>
    <d v="2026-09-25T11:34:40"/>
    <x v="3"/>
    <n v="28.567599999999999"/>
    <n v="77.209599999999995"/>
    <x v="0"/>
    <x v="1"/>
    <n v="32"/>
    <n v="9.3800000000000008"/>
    <x v="1"/>
    <x v="0"/>
  </r>
  <r>
    <d v="2026-09-07T20:22:55"/>
    <x v="6"/>
    <n v="28.6328"/>
    <n v="77.219499999999996"/>
    <x v="0"/>
    <x v="3"/>
    <n v="39"/>
    <n v="7.69"/>
    <x v="3"/>
    <x v="0"/>
  </r>
  <r>
    <d v="2026-09-14T16:45:50"/>
    <x v="5"/>
    <n v="28.6129"/>
    <n v="77.229500000000002"/>
    <x v="0"/>
    <x v="0"/>
    <n v="30"/>
    <n v="10"/>
    <x v="3"/>
    <x v="0"/>
  </r>
  <r>
    <d v="2026-09-23T10:36:47"/>
    <x v="5"/>
    <n v="28.6129"/>
    <n v="77.229500000000002"/>
    <x v="0"/>
    <x v="1"/>
    <n v="35"/>
    <n v="8.57"/>
    <x v="3"/>
    <x v="0"/>
  </r>
  <r>
    <d v="2026-09-07T06:23:31"/>
    <x v="4"/>
    <n v="28.656199999999998"/>
    <n v="77.231499999999997"/>
    <x v="2"/>
    <x v="1"/>
    <n v="6"/>
    <n v="50"/>
    <x v="2"/>
    <x v="0"/>
  </r>
  <r>
    <d v="2026-09-21T02:39:12"/>
    <x v="7"/>
    <n v="28.632999999999999"/>
    <n v="77.2196"/>
    <x v="0"/>
    <x v="3"/>
    <n v="19"/>
    <n v="15.79"/>
    <x v="2"/>
    <x v="0"/>
  </r>
  <r>
    <d v="2026-09-01T10:29:33"/>
    <x v="5"/>
    <n v="28.6129"/>
    <n v="77.229500000000002"/>
    <x v="0"/>
    <x v="3"/>
    <n v="29"/>
    <n v="10.34"/>
    <x v="2"/>
    <x v="0"/>
  </r>
  <r>
    <d v="2026-09-16T07:14:10"/>
    <x v="1"/>
    <n v="28.5562"/>
    <n v="77.099999999999994"/>
    <x v="1"/>
    <x v="3"/>
    <n v="6"/>
    <n v="50"/>
    <x v="0"/>
    <x v="0"/>
  </r>
  <r>
    <d v="2026-09-08T17:22:01"/>
    <x v="5"/>
    <n v="28.6129"/>
    <n v="77.229500000000002"/>
    <x v="0"/>
    <x v="2"/>
    <n v="34"/>
    <n v="8.82"/>
    <x v="1"/>
    <x v="2"/>
  </r>
  <r>
    <d v="2026-09-20T09:09:57"/>
    <x v="3"/>
    <n v="28.567599999999999"/>
    <n v="77.209599999999995"/>
    <x v="0"/>
    <x v="1"/>
    <n v="25"/>
    <n v="12"/>
    <x v="2"/>
    <x v="0"/>
  </r>
  <r>
    <d v="2026-09-27T05:32:52"/>
    <x v="5"/>
    <n v="28.6129"/>
    <n v="77.229500000000002"/>
    <x v="0"/>
    <x v="3"/>
    <n v="37"/>
    <n v="8.11"/>
    <x v="1"/>
    <x v="0"/>
  </r>
  <r>
    <d v="2026-09-26T22:33:10"/>
    <x v="3"/>
    <n v="28.567599999999999"/>
    <n v="77.209599999999995"/>
    <x v="0"/>
    <x v="0"/>
    <n v="13"/>
    <n v="23.08"/>
    <x v="0"/>
    <x v="3"/>
  </r>
  <r>
    <d v="2026-09-27T23:02:07"/>
    <x v="2"/>
    <n v="28.571400000000001"/>
    <n v="77.281300000000002"/>
    <x v="1"/>
    <x v="0"/>
    <n v="49"/>
    <n v="6.12"/>
    <x v="2"/>
    <x v="0"/>
  </r>
  <r>
    <d v="2026-09-08T03:22:37"/>
    <x v="4"/>
    <n v="28.656199999999998"/>
    <n v="77.231499999999997"/>
    <x v="2"/>
    <x v="4"/>
    <n v="8"/>
    <n v="37.5"/>
    <x v="0"/>
    <x v="0"/>
  </r>
  <r>
    <d v="2026-09-12T15:47:56"/>
    <x v="4"/>
    <n v="28.656199999999998"/>
    <n v="77.231499999999997"/>
    <x v="2"/>
    <x v="3"/>
    <n v="3"/>
    <n v="100"/>
    <x v="0"/>
    <x v="2"/>
  </r>
  <r>
    <d v="2026-09-05T22:54:52"/>
    <x v="0"/>
    <n v="28.545300000000001"/>
    <n v="77.192499999999995"/>
    <x v="0"/>
    <x v="3"/>
    <n v="9"/>
    <n v="33.33"/>
    <x v="0"/>
    <x v="0"/>
  </r>
  <r>
    <d v="2026-09-02T00:28:57"/>
    <x v="0"/>
    <n v="28.545300000000001"/>
    <n v="77.192499999999995"/>
    <x v="0"/>
    <x v="2"/>
    <n v="24"/>
    <n v="12.5"/>
    <x v="2"/>
    <x v="2"/>
  </r>
  <r>
    <d v="2026-09-17T00:43:25"/>
    <x v="1"/>
    <n v="28.5562"/>
    <n v="77.099999999999994"/>
    <x v="1"/>
    <x v="2"/>
    <n v="73"/>
    <n v="4.1100000000000003"/>
    <x v="3"/>
    <x v="2"/>
  </r>
  <r>
    <d v="2026-09-14T06:16:17"/>
    <x v="2"/>
    <n v="28.571400000000001"/>
    <n v="77.281300000000002"/>
    <x v="1"/>
    <x v="3"/>
    <n v="45"/>
    <n v="6.67"/>
    <x v="1"/>
    <x v="0"/>
  </r>
  <r>
    <d v="2026-09-13T02:17:29"/>
    <x v="6"/>
    <n v="28.6328"/>
    <n v="77.219499999999996"/>
    <x v="0"/>
    <x v="4"/>
    <n v="20"/>
    <n v="15"/>
    <x v="2"/>
    <x v="0"/>
  </r>
  <r>
    <d v="2026-09-26T15:33:28"/>
    <x v="2"/>
    <n v="28.571400000000001"/>
    <n v="77.281300000000002"/>
    <x v="1"/>
    <x v="1"/>
    <n v="62"/>
    <n v="4.84"/>
    <x v="1"/>
    <x v="0"/>
  </r>
  <r>
    <d v="2026-09-27T09:02:43"/>
    <x v="2"/>
    <n v="28.571400000000001"/>
    <n v="77.281300000000002"/>
    <x v="1"/>
    <x v="3"/>
    <n v="47"/>
    <n v="6.38"/>
    <x v="1"/>
    <x v="2"/>
  </r>
  <r>
    <d v="2026-09-13T23:16:35"/>
    <x v="4"/>
    <n v="28.656199999999998"/>
    <n v="77.231499999999997"/>
    <x v="2"/>
    <x v="2"/>
    <n v="36"/>
    <n v="8.33"/>
    <x v="3"/>
    <x v="0"/>
  </r>
  <r>
    <d v="2026-09-02T03:58:48"/>
    <x v="4"/>
    <n v="28.656199999999998"/>
    <n v="77.231499999999997"/>
    <x v="2"/>
    <x v="1"/>
    <n v="19"/>
    <n v="15.79"/>
    <x v="1"/>
    <x v="0"/>
  </r>
  <r>
    <d v="2026-09-02T21:28:02"/>
    <x v="5"/>
    <n v="28.6129"/>
    <n v="77.229500000000002"/>
    <x v="0"/>
    <x v="2"/>
    <n v="21"/>
    <n v="14.29"/>
    <x v="1"/>
    <x v="0"/>
  </r>
  <r>
    <d v="2026-09-09T14:21:06"/>
    <x v="7"/>
    <n v="28.632999999999999"/>
    <n v="77.2196"/>
    <x v="0"/>
    <x v="2"/>
    <n v="32"/>
    <n v="9.3800000000000008"/>
    <x v="1"/>
    <x v="0"/>
  </r>
  <r>
    <d v="2026-09-25T22:04:13"/>
    <x v="7"/>
    <n v="28.632999999999999"/>
    <n v="77.2196"/>
    <x v="0"/>
    <x v="0"/>
    <n v="31"/>
    <n v="9.68"/>
    <x v="1"/>
    <x v="2"/>
  </r>
  <r>
    <d v="2026-09-20T02:10:15"/>
    <x v="4"/>
    <n v="28.656199999999998"/>
    <n v="77.231499999999997"/>
    <x v="2"/>
    <x v="2"/>
    <n v="7"/>
    <n v="42.86"/>
    <x v="0"/>
    <x v="0"/>
  </r>
  <r>
    <d v="2026-09-03T11:27:26"/>
    <x v="7"/>
    <n v="28.632999999999999"/>
    <n v="77.2196"/>
    <x v="0"/>
    <x v="1"/>
    <n v="10"/>
    <n v="30"/>
    <x v="0"/>
    <x v="3"/>
  </r>
  <r>
    <d v="2026-09-11T11:49:09"/>
    <x v="3"/>
    <n v="28.567599999999999"/>
    <n v="77.209599999999995"/>
    <x v="0"/>
    <x v="3"/>
    <n v="48"/>
    <n v="6.25"/>
    <x v="3"/>
    <x v="3"/>
  </r>
  <r>
    <d v="2026-09-26T12:03:37"/>
    <x v="0"/>
    <n v="28.545300000000001"/>
    <n v="77.192499999999995"/>
    <x v="0"/>
    <x v="4"/>
    <n v="17"/>
    <n v="17.649999999999999"/>
    <x v="2"/>
    <x v="0"/>
  </r>
  <r>
    <d v="2026-09-20T12:39:48"/>
    <x v="5"/>
    <n v="28.6129"/>
    <n v="77.229500000000002"/>
    <x v="0"/>
    <x v="1"/>
    <n v="37"/>
    <n v="8.11"/>
    <x v="1"/>
    <x v="0"/>
  </r>
  <r>
    <d v="2026-09-25T08:04:49"/>
    <x v="0"/>
    <n v="28.545300000000001"/>
    <n v="77.192499999999995"/>
    <x v="0"/>
    <x v="2"/>
    <n v="32"/>
    <n v="9.3800000000000008"/>
    <x v="1"/>
    <x v="0"/>
  </r>
  <r>
    <d v="2026-09-27T16:02:25"/>
    <x v="0"/>
    <n v="28.545300000000001"/>
    <n v="77.192499999999995"/>
    <x v="0"/>
    <x v="3"/>
    <n v="11"/>
    <n v="27.27"/>
    <x v="0"/>
    <x v="0"/>
  </r>
  <r>
    <d v="2026-09-10T04:20:30"/>
    <x v="6"/>
    <n v="28.6328"/>
    <n v="77.219499999999996"/>
    <x v="0"/>
    <x v="2"/>
    <n v="30"/>
    <n v="10"/>
    <x v="1"/>
    <x v="0"/>
  </r>
  <r>
    <d v="2026-09-08T20:51:52"/>
    <x v="3"/>
    <n v="28.567599999999999"/>
    <n v="77.209599999999995"/>
    <x v="0"/>
    <x v="2"/>
    <n v="29"/>
    <n v="10.34"/>
    <x v="1"/>
    <x v="2"/>
  </r>
  <r>
    <d v="2026-09-16T14:13:52"/>
    <x v="1"/>
    <n v="28.5562"/>
    <n v="77.099999999999994"/>
    <x v="1"/>
    <x v="0"/>
    <n v="46"/>
    <n v="6.52"/>
    <x v="1"/>
    <x v="3"/>
  </r>
  <r>
    <d v="2026-09-08T06:52:28"/>
    <x v="7"/>
    <n v="28.632999999999999"/>
    <n v="77.2196"/>
    <x v="0"/>
    <x v="0"/>
    <n v="13"/>
    <n v="23.08"/>
    <x v="2"/>
    <x v="3"/>
  </r>
  <r>
    <d v="2026-09-29T13:30:27"/>
    <x v="3"/>
    <n v="28.567599999999999"/>
    <n v="77.209599999999995"/>
    <x v="0"/>
    <x v="0"/>
    <n v="40"/>
    <n v="7.5"/>
    <x v="1"/>
    <x v="2"/>
  </r>
  <r>
    <d v="2026-09-09T10:51:15"/>
    <x v="3"/>
    <n v="28.567599999999999"/>
    <n v="77.209599999999995"/>
    <x v="0"/>
    <x v="2"/>
    <n v="35"/>
    <n v="8.57"/>
    <x v="1"/>
    <x v="0"/>
  </r>
  <r>
    <d v="2026-09-07T23:52:46"/>
    <x v="3"/>
    <n v="28.567599999999999"/>
    <n v="77.209599999999995"/>
    <x v="0"/>
    <x v="0"/>
    <n v="23"/>
    <n v="13.04"/>
    <x v="1"/>
    <x v="1"/>
  </r>
  <r>
    <d v="2026-09-13T19:46:44"/>
    <x v="7"/>
    <n v="28.632999999999999"/>
    <n v="77.2196"/>
    <x v="0"/>
    <x v="1"/>
    <n v="47"/>
    <n v="6.38"/>
    <x v="3"/>
    <x v="3"/>
  </r>
  <r>
    <d v="2026-09-04T01:26:50"/>
    <x v="4"/>
    <n v="28.656199999999998"/>
    <n v="77.231499999999997"/>
    <x v="2"/>
    <x v="4"/>
    <n v="20"/>
    <n v="15"/>
    <x v="1"/>
    <x v="0"/>
  </r>
  <r>
    <d v="2026-09-09T07:21:24"/>
    <x v="0"/>
    <n v="28.545300000000001"/>
    <n v="77.192499999999995"/>
    <x v="0"/>
    <x v="4"/>
    <n v="14"/>
    <n v="21.43"/>
    <x v="2"/>
    <x v="0"/>
  </r>
  <r>
    <d v="2026-09-24T07:35:53"/>
    <x v="3"/>
    <n v="28.567599999999999"/>
    <n v="77.209599999999995"/>
    <x v="0"/>
    <x v="2"/>
    <n v="38"/>
    <n v="7.89"/>
    <x v="1"/>
    <x v="0"/>
  </r>
  <r>
    <d v="2026-09-28T23:31:03"/>
    <x v="4"/>
    <n v="28.656199999999998"/>
    <n v="77.231499999999997"/>
    <x v="2"/>
    <x v="2"/>
    <n v="16"/>
    <n v="18.75"/>
    <x v="1"/>
    <x v="0"/>
  </r>
  <r>
    <d v="2026-09-19T19:10:33"/>
    <x v="5"/>
    <n v="28.6129"/>
    <n v="77.229500000000002"/>
    <x v="0"/>
    <x v="2"/>
    <n v="38"/>
    <n v="7.89"/>
    <x v="3"/>
    <x v="0"/>
  </r>
  <r>
    <d v="2026-09-06T09:24:25"/>
    <x v="1"/>
    <n v="28.5562"/>
    <n v="77.099999999999994"/>
    <x v="1"/>
    <x v="1"/>
    <n v="69"/>
    <n v="4.3499999999999996"/>
    <x v="3"/>
    <x v="0"/>
  </r>
  <r>
    <d v="2026-09-23T21:06:20"/>
    <x v="2"/>
    <n v="28.571400000000001"/>
    <n v="77.281300000000002"/>
    <x v="1"/>
    <x v="2"/>
    <n v="50"/>
    <n v="6"/>
    <x v="1"/>
    <x v="2"/>
  </r>
  <r>
    <d v="2026-09-29T03:00:54"/>
    <x v="2"/>
    <n v="28.571400000000001"/>
    <n v="77.281300000000002"/>
    <x v="1"/>
    <x v="4"/>
    <n v="41"/>
    <n v="7.32"/>
    <x v="1"/>
    <x v="0"/>
  </r>
  <r>
    <d v="2026-09-01T03:29:51"/>
    <x v="7"/>
    <n v="28.632999999999999"/>
    <n v="77.2196"/>
    <x v="0"/>
    <x v="4"/>
    <n v="29"/>
    <n v="10.34"/>
    <x v="1"/>
    <x v="0"/>
  </r>
  <r>
    <d v="2026-09-08T13:52:10"/>
    <x v="3"/>
    <n v="28.567599999999999"/>
    <n v="77.209599999999995"/>
    <x v="0"/>
    <x v="2"/>
    <n v="40"/>
    <n v="7.5"/>
    <x v="1"/>
    <x v="0"/>
  </r>
  <r>
    <d v="2026-09-22T17:07:32"/>
    <x v="7"/>
    <n v="28.632999999999999"/>
    <n v="77.2196"/>
    <x v="0"/>
    <x v="2"/>
    <n v="50"/>
    <n v="6"/>
    <x v="3"/>
    <x v="0"/>
  </r>
  <r>
    <d v="2026-09-19T22:40:24"/>
    <x v="3"/>
    <n v="28.567599999999999"/>
    <n v="77.209599999999995"/>
    <x v="0"/>
    <x v="4"/>
    <n v="10"/>
    <n v="30"/>
    <x v="0"/>
    <x v="0"/>
  </r>
  <r>
    <d v="2026-09-23T00:07:14"/>
    <x v="6"/>
    <n v="28.6328"/>
    <n v="77.219499999999996"/>
    <x v="0"/>
    <x v="3"/>
    <n v="38"/>
    <n v="7.89"/>
    <x v="3"/>
    <x v="0"/>
  </r>
  <r>
    <d v="2026-09-16T00:14:28"/>
    <x v="1"/>
    <n v="28.5562"/>
    <n v="77.099999999999994"/>
    <x v="1"/>
    <x v="1"/>
    <n v="40"/>
    <n v="7.5"/>
    <x v="1"/>
    <x v="1"/>
  </r>
  <r>
    <d v="2026-09-15T10:15:05"/>
    <x v="2"/>
    <n v="28.571400000000001"/>
    <n v="77.281300000000002"/>
    <x v="1"/>
    <x v="2"/>
    <n v="69"/>
    <n v="4.3499999999999996"/>
    <x v="1"/>
    <x v="0"/>
  </r>
  <r>
    <d v="2026-09-17T21:42:31"/>
    <x v="3"/>
    <n v="28.567599999999999"/>
    <n v="77.209599999999995"/>
    <x v="0"/>
    <x v="2"/>
    <n v="25"/>
    <n v="12"/>
    <x v="1"/>
    <x v="0"/>
  </r>
  <r>
    <d v="2026-09-13T16:16:53"/>
    <x v="1"/>
    <n v="28.5562"/>
    <n v="77.099999999999994"/>
    <x v="1"/>
    <x v="1"/>
    <n v="6"/>
    <n v="50"/>
    <x v="0"/>
    <x v="0"/>
  </r>
  <r>
    <d v="2026-09-11T18:48:51"/>
    <x v="5"/>
    <n v="28.6129"/>
    <n v="77.229500000000002"/>
    <x v="0"/>
    <x v="3"/>
    <n v="28"/>
    <n v="10.71"/>
    <x v="1"/>
    <x v="2"/>
  </r>
  <r>
    <d v="2026-09-18T15:11:46"/>
    <x v="5"/>
    <n v="28.6129"/>
    <n v="77.229500000000002"/>
    <x v="0"/>
    <x v="4"/>
    <n v="34"/>
    <n v="8.82"/>
    <x v="3"/>
    <x v="0"/>
  </r>
  <r>
    <d v="2026-09-30T00:00:00"/>
    <x v="2"/>
    <n v="28.571400000000001"/>
    <n v="77.281300000000002"/>
    <x v="1"/>
    <x v="2"/>
    <n v="42"/>
    <n v="7.14"/>
    <x v="1"/>
    <x v="2"/>
  </r>
  <r>
    <d v="2026-09-03T21:56:59"/>
    <x v="2"/>
    <n v="28.571400000000001"/>
    <n v="77.281300000000002"/>
    <x v="1"/>
    <x v="0"/>
    <n v="38"/>
    <n v="7.89"/>
    <x v="2"/>
    <x v="0"/>
  </r>
  <r>
    <d v="2026-09-28T09:31:39"/>
    <x v="1"/>
    <n v="28.5562"/>
    <n v="77.099999999999994"/>
    <x v="1"/>
    <x v="3"/>
    <n v="15"/>
    <n v="20"/>
    <x v="0"/>
    <x v="0"/>
  </r>
  <r>
    <d v="2026-09-11T08:19:18"/>
    <x v="3"/>
    <n v="28.567599999999999"/>
    <n v="77.209599999999995"/>
    <x v="0"/>
    <x v="1"/>
    <n v="17"/>
    <n v="17.649999999999999"/>
    <x v="2"/>
    <x v="0"/>
  </r>
  <r>
    <d v="2026-09-16T10:44:01"/>
    <x v="7"/>
    <n v="28.632999999999999"/>
    <n v="77.2196"/>
    <x v="0"/>
    <x v="3"/>
    <n v="14"/>
    <n v="21.43"/>
    <x v="2"/>
    <x v="0"/>
  </r>
  <r>
    <d v="2026-09-03T00:57:53"/>
    <x v="3"/>
    <n v="28.567599999999999"/>
    <n v="77.209599999999995"/>
    <x v="0"/>
    <x v="4"/>
    <n v="9"/>
    <n v="33.33"/>
    <x v="0"/>
    <x v="0"/>
  </r>
  <r>
    <d v="2026-09-14T09:46:08"/>
    <x v="7"/>
    <n v="28.632999999999999"/>
    <n v="77.2196"/>
    <x v="0"/>
    <x v="3"/>
    <n v="18"/>
    <n v="16.670000000000002"/>
    <x v="2"/>
    <x v="0"/>
  </r>
  <r>
    <d v="2026-09-27T02:03:01"/>
    <x v="6"/>
    <n v="28.6328"/>
    <n v="77.219499999999996"/>
    <x v="0"/>
    <x v="0"/>
    <n v="8"/>
    <n v="37.5"/>
    <x v="0"/>
    <x v="0"/>
  </r>
  <r>
    <d v="2026-09-15T20:44:37"/>
    <x v="0"/>
    <n v="28.545300000000001"/>
    <n v="77.192499999999995"/>
    <x v="0"/>
    <x v="0"/>
    <n v="25"/>
    <n v="12"/>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2956D7-CE54-4D75-89A6-A0F85077C57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G1:H10" firstHeaderRow="1" firstDataRow="1" firstDataCol="1"/>
  <pivotFields count="10">
    <pivotField numFmtId="164" showAll="0"/>
    <pivotField axis="axisRow" showAll="0">
      <items count="9">
        <item x="3"/>
        <item x="4"/>
        <item x="7"/>
        <item x="2"/>
        <item x="5"/>
        <item x="1"/>
        <item x="0"/>
        <item x="6"/>
        <item t="default"/>
      </items>
    </pivotField>
    <pivotField showAll="0"/>
    <pivotField showAll="0"/>
    <pivotField showAll="0"/>
    <pivotField showAll="0">
      <items count="6">
        <item x="4"/>
        <item x="2"/>
        <item x="1"/>
        <item x="3"/>
        <item x="0"/>
        <item t="default"/>
      </items>
    </pivotField>
    <pivotField showAll="0"/>
    <pivotField dataField="1" showAll="0"/>
    <pivotField showAll="0">
      <items count="5">
        <item x="0"/>
        <item x="2"/>
        <item x="3"/>
        <item x="1"/>
        <item t="default"/>
      </items>
    </pivotField>
    <pivotField showAll="0">
      <items count="5">
        <item x="0"/>
        <item x="3"/>
        <item x="2"/>
        <item x="1"/>
        <item t="default"/>
      </items>
    </pivotField>
  </pivotFields>
  <rowFields count="1">
    <field x="1"/>
  </rowFields>
  <rowItems count="9">
    <i>
      <x/>
    </i>
    <i>
      <x v="1"/>
    </i>
    <i>
      <x v="2"/>
    </i>
    <i>
      <x v="3"/>
    </i>
    <i>
      <x v="4"/>
    </i>
    <i>
      <x v="5"/>
    </i>
    <i>
      <x v="6"/>
    </i>
    <i>
      <x v="7"/>
    </i>
    <i t="grand">
      <x/>
    </i>
  </rowItems>
  <colItems count="1">
    <i/>
  </colItems>
  <dataFields count="1">
    <dataField name="Average of Travel_Time_mins" fld="7" subtotal="average" baseField="0" baseItem="0" numFmtId="2"/>
  </dataFields>
  <formats count="9">
    <format dxfId="16">
      <pivotArea field="1" type="button" dataOnly="0" labelOnly="1" outline="0" axis="axisRow" fieldPosition="0"/>
    </format>
    <format dxfId="15">
      <pivotArea dataOnly="0" labelOnly="1" outline="0" axis="axisValues" fieldPosition="0"/>
    </format>
    <format dxfId="14">
      <pivotArea field="1" type="button" dataOnly="0" labelOnly="1" outline="0" axis="axisRow" fieldPosition="0"/>
    </format>
    <format dxfId="13">
      <pivotArea dataOnly="0" labelOnly="1" outline="0" axis="axisValues" fieldPosition="0"/>
    </format>
    <format dxfId="12">
      <pivotArea dataOnly="0" fieldPosition="0">
        <references count="1">
          <reference field="1" count="0"/>
        </references>
      </pivotArea>
    </format>
    <format dxfId="11">
      <pivotArea grandRow="1" outline="0" collapsedLevelsAreSubtotals="1" fieldPosition="0"/>
    </format>
    <format dxfId="10">
      <pivotArea dataOnly="0" labelOnly="1" grandRow="1" outline="0" fieldPosition="0"/>
    </format>
    <format dxfId="9">
      <pivotArea grandRow="1" outline="0" collapsedLevelsAreSubtotals="1" fieldPosition="0"/>
    </format>
    <format dxfId="8">
      <pivotArea dataOnly="0" labelOnly="1" grandRow="1" outline="0" fieldPosition="0"/>
    </format>
  </formats>
  <chartFormats count="1">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E88A9E-E09F-4F32-9C58-D4E09152204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F5" firstHeaderRow="1" firstDataRow="1" firstDataCol="1"/>
  <pivotFields count="10">
    <pivotField numFmtId="164" showAll="0"/>
    <pivotField showAll="0">
      <items count="9">
        <item x="3"/>
        <item x="4"/>
        <item x="7"/>
        <item x="2"/>
        <item x="5"/>
        <item x="1"/>
        <item x="0"/>
        <item x="6"/>
        <item t="default"/>
      </items>
    </pivotField>
    <pivotField showAll="0"/>
    <pivotField showAll="0"/>
    <pivotField axis="axisRow" dataField="1" showAll="0">
      <items count="4">
        <item x="0"/>
        <item x="2"/>
        <item x="1"/>
        <item t="default"/>
      </items>
    </pivotField>
    <pivotField showAll="0">
      <items count="6">
        <item x="4"/>
        <item x="2"/>
        <item x="1"/>
        <item x="3"/>
        <item x="0"/>
        <item t="default"/>
      </items>
    </pivotField>
    <pivotField showAll="0"/>
    <pivotField showAll="0"/>
    <pivotField showAll="0">
      <items count="5">
        <item x="0"/>
        <item x="2"/>
        <item x="3"/>
        <item x="1"/>
        <item t="default"/>
      </items>
    </pivotField>
    <pivotField showAll="0">
      <items count="5">
        <item x="0"/>
        <item x="3"/>
        <item x="2"/>
        <item x="1"/>
        <item t="default"/>
      </items>
    </pivotField>
  </pivotFields>
  <rowFields count="1">
    <field x="4"/>
  </rowFields>
  <rowItems count="4">
    <i>
      <x/>
    </i>
    <i>
      <x v="1"/>
    </i>
    <i>
      <x v="2"/>
    </i>
    <i t="grand">
      <x/>
    </i>
  </rowItems>
  <colItems count="1">
    <i/>
  </colItems>
  <dataFields count="1">
    <dataField name="Count of Road_Type" fld="4" subtotal="count" baseField="0" baseItem="0"/>
  </dataFields>
  <formats count="10">
    <format dxfId="26">
      <pivotArea field="4" type="button" dataOnly="0" labelOnly="1" outline="0" axis="axisRow" fieldPosition="0"/>
    </format>
    <format dxfId="25">
      <pivotArea dataOnly="0" labelOnly="1" outline="0" axis="axisValues" fieldPosition="0"/>
    </format>
    <format dxfId="24">
      <pivotArea field="4" type="button" dataOnly="0" labelOnly="1" outline="0" axis="axisRow" fieldPosition="0"/>
    </format>
    <format dxfId="23">
      <pivotArea dataOnly="0" labelOnly="1" outline="0" axis="axisValues" fieldPosition="0"/>
    </format>
    <format dxfId="22">
      <pivotArea dataOnly="0" fieldPosition="0">
        <references count="1">
          <reference field="4" count="0"/>
        </references>
      </pivotArea>
    </format>
    <format dxfId="21">
      <pivotArea grandRow="1" outline="0" collapsedLevelsAreSubtotals="1" fieldPosition="0"/>
    </format>
    <format dxfId="20">
      <pivotArea dataOnly="0" labelOnly="1" grandRow="1" outline="0" fieldPosition="0"/>
    </format>
    <format dxfId="19">
      <pivotArea dataOnly="0" grandRow="1" fieldPosition="0"/>
    </format>
    <format dxfId="18">
      <pivotArea grandRow="1" outline="0" collapsedLevelsAreSubtotals="1" fieldPosition="0"/>
    </format>
    <format dxfId="1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139294-D4CC-44FB-AA38-BBFA4880655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1:L7" firstHeaderRow="1" firstDataRow="1" firstDataCol="1"/>
  <pivotFields count="10">
    <pivotField numFmtId="164" showAll="0"/>
    <pivotField showAll="0">
      <items count="9">
        <item x="3"/>
        <item x="4"/>
        <item x="7"/>
        <item x="2"/>
        <item x="5"/>
        <item x="1"/>
        <item x="0"/>
        <item x="6"/>
        <item t="default"/>
      </items>
    </pivotField>
    <pivotField showAll="0"/>
    <pivotField showAll="0"/>
    <pivotField showAll="0"/>
    <pivotField axis="axisRow" showAll="0">
      <items count="6">
        <item x="4"/>
        <item x="2"/>
        <item x="1"/>
        <item x="3"/>
        <item x="0"/>
        <item t="default"/>
      </items>
    </pivotField>
    <pivotField showAll="0"/>
    <pivotField dataField="1" showAll="0"/>
    <pivotField showAll="0">
      <items count="5">
        <item x="0"/>
        <item x="2"/>
        <item x="3"/>
        <item x="1"/>
        <item t="default"/>
      </items>
    </pivotField>
    <pivotField showAll="0"/>
  </pivotFields>
  <rowFields count="1">
    <field x="5"/>
  </rowFields>
  <rowItems count="6">
    <i>
      <x/>
    </i>
    <i>
      <x v="1"/>
    </i>
    <i>
      <x v="2"/>
    </i>
    <i>
      <x v="3"/>
    </i>
    <i>
      <x v="4"/>
    </i>
    <i t="grand">
      <x/>
    </i>
  </rowItems>
  <colItems count="1">
    <i/>
  </colItems>
  <dataFields count="1">
    <dataField name="Average of Travel_Time_mins" fld="7" subtotal="average" baseField="0" baseItem="0" numFmtId="2"/>
  </dataFields>
  <formats count="12">
    <format dxfId="38">
      <pivotArea field="5" type="button" dataOnly="0" labelOnly="1" outline="0" axis="axisRow" fieldPosition="0"/>
    </format>
    <format dxfId="37">
      <pivotArea dataOnly="0" labelOnly="1" outline="0" axis="axisValues" fieldPosition="0"/>
    </format>
    <format dxfId="36">
      <pivotArea field="5" type="button" dataOnly="0" labelOnly="1" outline="0" axis="axisRow" fieldPosition="0"/>
    </format>
    <format dxfId="35">
      <pivotArea dataOnly="0" labelOnly="1" outline="0" axis="axisValues" fieldPosition="0"/>
    </format>
    <format dxfId="34">
      <pivotArea collapsedLevelsAreSubtotals="1" fieldPosition="0">
        <references count="1">
          <reference field="5" count="0"/>
        </references>
      </pivotArea>
    </format>
    <format dxfId="33">
      <pivotArea dataOnly="0" labelOnly="1" fieldPosition="0">
        <references count="1">
          <reference field="5" count="0"/>
        </references>
      </pivotArea>
    </format>
    <format dxfId="32">
      <pivotArea grandRow="1" outline="0" collapsedLevelsAreSubtotals="1" fieldPosition="0"/>
    </format>
    <format dxfId="31">
      <pivotArea dataOnly="0" labelOnly="1" grandRow="1" outline="0" fieldPosition="0"/>
    </format>
    <format dxfId="30">
      <pivotArea dataOnly="0" grandRow="1" axis="axisRow" fieldPosition="0"/>
    </format>
    <format dxfId="29">
      <pivotArea field="5" dataOnly="0" grandRow="1" axis="axisRow" fieldPosition="0">
        <references count="1">
          <reference field="5" count="0"/>
        </references>
      </pivotArea>
    </format>
    <format dxfId="28">
      <pivotArea outline="0" fieldPosition="0"/>
    </format>
    <format dxfId="27">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6721BD-F1E2-4513-BB51-352F6128DB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10" firstHeaderRow="1" firstDataRow="1" firstDataCol="1"/>
  <pivotFields count="10">
    <pivotField numFmtId="164" showAll="0"/>
    <pivotField axis="axisRow" showAll="0">
      <items count="9">
        <item x="3"/>
        <item x="4"/>
        <item x="7"/>
        <item x="2"/>
        <item x="5"/>
        <item x="1"/>
        <item x="0"/>
        <item x="6"/>
        <item t="default"/>
      </items>
    </pivotField>
    <pivotField showAll="0"/>
    <pivotField showAll="0"/>
    <pivotField showAll="0"/>
    <pivotField showAll="0">
      <items count="6">
        <item x="4"/>
        <item x="2"/>
        <item x="1"/>
        <item x="3"/>
        <item x="0"/>
        <item t="default"/>
      </items>
    </pivotField>
    <pivotField dataField="1" showAll="0"/>
    <pivotField showAll="0"/>
    <pivotField showAll="0">
      <items count="5">
        <item x="0"/>
        <item x="2"/>
        <item x="3"/>
        <item x="1"/>
        <item t="default"/>
      </items>
    </pivotField>
    <pivotField showAll="0">
      <items count="5">
        <item x="0"/>
        <item x="3"/>
        <item x="2"/>
        <item x="1"/>
        <item t="default"/>
      </items>
    </pivotField>
  </pivotFields>
  <rowFields count="1">
    <field x="1"/>
  </rowFields>
  <rowItems count="9">
    <i>
      <x/>
    </i>
    <i>
      <x v="1"/>
    </i>
    <i>
      <x v="2"/>
    </i>
    <i>
      <x v="3"/>
    </i>
    <i>
      <x v="4"/>
    </i>
    <i>
      <x v="5"/>
    </i>
    <i>
      <x v="6"/>
    </i>
    <i>
      <x v="7"/>
    </i>
    <i t="grand">
      <x/>
    </i>
  </rowItems>
  <colItems count="1">
    <i/>
  </colItems>
  <dataFields count="1">
    <dataField name="Average of Speed_kmh" fld="6" subtotal="average" baseField="0" baseItem="0" numFmtId="2"/>
  </dataFields>
  <formats count="13">
    <format dxfId="51">
      <pivotArea type="all" dataOnly="0" outline="0" fieldPosition="0"/>
    </format>
    <format dxfId="50">
      <pivotArea outline="0" collapsedLevelsAreSubtotals="1" fieldPosition="0"/>
    </format>
    <format dxfId="49">
      <pivotArea field="1" type="button" dataOnly="0" labelOnly="1" outline="0" axis="axisRow" fieldPosition="0"/>
    </format>
    <format dxfId="48">
      <pivotArea dataOnly="0" labelOnly="1" fieldPosition="0">
        <references count="1">
          <reference field="1" count="0"/>
        </references>
      </pivotArea>
    </format>
    <format dxfId="47">
      <pivotArea dataOnly="0" labelOnly="1" grandRow="1" outline="0" fieldPosition="0"/>
    </format>
    <format dxfId="46">
      <pivotArea dataOnly="0" labelOnly="1" outline="0" axis="axisValues" fieldPosition="0"/>
    </format>
    <format dxfId="45">
      <pivotArea field="1" type="button" dataOnly="0" labelOnly="1" outline="0" axis="axisRow" fieldPosition="0"/>
    </format>
    <format dxfId="44">
      <pivotArea dataOnly="0" labelOnly="1" outline="0" axis="axisValues" fieldPosition="0"/>
    </format>
    <format dxfId="43">
      <pivotArea field="1" type="button" dataOnly="0" labelOnly="1" outline="0" axis="axisRow" fieldPosition="0"/>
    </format>
    <format dxfId="42">
      <pivotArea dataOnly="0" labelOnly="1" outline="0" axis="axisValues" fieldPosition="0"/>
    </format>
    <format dxfId="41">
      <pivotArea field="1" dataOnly="0" grandRow="1" axis="axisRow" fieldPosition="0">
        <references count="1">
          <reference field="1" count="1">
            <x v="7"/>
          </reference>
        </references>
      </pivotArea>
    </format>
    <format dxfId="40">
      <pivotArea grandRow="1" outline="0" collapsedLevelsAreSubtotals="1" fieldPosition="0"/>
    </format>
    <format dxfId="39">
      <pivotArea dataOnly="0" labelOnly="1" grandRow="1" outline="0" fieldPosition="0"/>
    </format>
  </formats>
  <chartFormats count="2">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2347EC-AE40-4424-BE0A-30218EA67FD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1:J6" firstHeaderRow="1" firstDataRow="1" firstDataCol="1"/>
  <pivotFields count="10">
    <pivotField numFmtId="164" showAll="0"/>
    <pivotField showAll="0">
      <items count="9">
        <item x="3"/>
        <item x="4"/>
        <item x="7"/>
        <item x="2"/>
        <item x="5"/>
        <item x="1"/>
        <item x="0"/>
        <item x="6"/>
        <item t="default"/>
      </items>
    </pivotField>
    <pivotField showAll="0"/>
    <pivotField showAll="0"/>
    <pivotField showAll="0"/>
    <pivotField showAll="0"/>
    <pivotField showAll="0"/>
    <pivotField dataField="1" showAll="0"/>
    <pivotField showAll="0"/>
    <pivotField axis="axisRow" showAll="0">
      <items count="5">
        <item x="0"/>
        <item x="3"/>
        <item x="2"/>
        <item x="1"/>
        <item t="default"/>
      </items>
    </pivotField>
  </pivotFields>
  <rowFields count="1">
    <field x="9"/>
  </rowFields>
  <rowItems count="5">
    <i>
      <x/>
    </i>
    <i>
      <x v="1"/>
    </i>
    <i>
      <x v="2"/>
    </i>
    <i>
      <x v="3"/>
    </i>
    <i t="grand">
      <x/>
    </i>
  </rowItems>
  <colItems count="1">
    <i/>
  </colItems>
  <dataFields count="1">
    <dataField name="Average of Travel_Time_mins" fld="7" subtotal="average" baseField="0" baseItem="0" numFmtId="2"/>
  </dataFields>
  <formats count="10">
    <format dxfId="61">
      <pivotArea field="9" type="button" dataOnly="0" labelOnly="1" outline="0" axis="axisRow" fieldPosition="0"/>
    </format>
    <format dxfId="60">
      <pivotArea dataOnly="0" labelOnly="1" outline="0" axis="axisValues" fieldPosition="0"/>
    </format>
    <format dxfId="59">
      <pivotArea field="9" type="button" dataOnly="0" labelOnly="1" outline="0" axis="axisRow" fieldPosition="0"/>
    </format>
    <format dxfId="58">
      <pivotArea dataOnly="0" labelOnly="1" outline="0" axis="axisValues" fieldPosition="0"/>
    </format>
    <format dxfId="57">
      <pivotArea collapsedLevelsAreSubtotals="1" fieldPosition="0">
        <references count="1">
          <reference field="9" count="0"/>
        </references>
      </pivotArea>
    </format>
    <format dxfId="56">
      <pivotArea dataOnly="0" labelOnly="1" fieldPosition="0">
        <references count="1">
          <reference field="9" count="0"/>
        </references>
      </pivotArea>
    </format>
    <format dxfId="55">
      <pivotArea grandRow="1" outline="0" collapsedLevelsAreSubtotals="1" fieldPosition="0"/>
    </format>
    <format dxfId="54">
      <pivotArea dataOnly="0" labelOnly="1" grandRow="1" outline="0" fieldPosition="0"/>
    </format>
    <format dxfId="53">
      <pivotArea grandRow="1" outline="0" collapsedLevelsAreSubtotals="1" fieldPosition="0"/>
    </format>
    <format dxfId="52">
      <pivotArea dataOnly="0" labelOnly="1" grandRow="1" outline="0"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2073D7-073C-47F8-A4EC-D6FF2A56D4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C1:D7" firstHeaderRow="1" firstDataRow="1" firstDataCol="1"/>
  <pivotFields count="10">
    <pivotField numFmtId="164" showAll="0"/>
    <pivotField showAll="0">
      <items count="9">
        <item x="3"/>
        <item x="4"/>
        <item x="7"/>
        <item x="2"/>
        <item x="5"/>
        <item x="1"/>
        <item x="0"/>
        <item x="6"/>
        <item t="default"/>
      </items>
    </pivotField>
    <pivotField showAll="0"/>
    <pivotField showAll="0"/>
    <pivotField showAll="0"/>
    <pivotField axis="axisRow" dataField="1" showAll="0">
      <items count="6">
        <item x="4"/>
        <item x="2"/>
        <item x="1"/>
        <item x="3"/>
        <item x="0"/>
        <item t="default"/>
      </items>
    </pivotField>
    <pivotField showAll="0"/>
    <pivotField showAll="0"/>
    <pivotField showAll="0">
      <items count="5">
        <item x="0"/>
        <item x="2"/>
        <item x="3"/>
        <item x="1"/>
        <item t="default"/>
      </items>
    </pivotField>
    <pivotField showAll="0">
      <items count="5">
        <item x="0"/>
        <item x="3"/>
        <item x="2"/>
        <item x="1"/>
        <item t="default"/>
      </items>
    </pivotField>
  </pivotFields>
  <rowFields count="1">
    <field x="5"/>
  </rowFields>
  <rowItems count="6">
    <i>
      <x/>
    </i>
    <i>
      <x v="1"/>
    </i>
    <i>
      <x v="2"/>
    </i>
    <i>
      <x v="3"/>
    </i>
    <i>
      <x v="4"/>
    </i>
    <i t="grand">
      <x/>
    </i>
  </rowItems>
  <colItems count="1">
    <i/>
  </colItems>
  <dataFields count="1">
    <dataField name="Count of Vehicle_Type" fld="5" subtotal="count" baseField="0" baseItem="0"/>
  </dataFields>
  <formats count="9">
    <format dxfId="70">
      <pivotArea field="5" type="button" dataOnly="0" labelOnly="1" outline="0" axis="axisRow" fieldPosition="0"/>
    </format>
    <format dxfId="69">
      <pivotArea dataOnly="0" labelOnly="1" outline="0" axis="axisValues" fieldPosition="0"/>
    </format>
    <format dxfId="68">
      <pivotArea field="5" type="button" dataOnly="0" labelOnly="1" outline="0" axis="axisRow" fieldPosition="0"/>
    </format>
    <format dxfId="67">
      <pivotArea dataOnly="0" labelOnly="1" outline="0" axis="axisValues" fieldPosition="0"/>
    </format>
    <format dxfId="66">
      <pivotArea outline="0" collapsedLevelsAreSubtotals="1" fieldPosition="0"/>
    </format>
    <format dxfId="65">
      <pivotArea dataOnly="0" labelOnly="1" fieldPosition="0">
        <references count="1">
          <reference field="5" count="0"/>
        </references>
      </pivotArea>
    </format>
    <format dxfId="64">
      <pivotArea dataOnly="0" labelOnly="1" grandRow="1" outline="0" fieldPosition="0"/>
    </format>
    <format dxfId="63">
      <pivotArea grandRow="1" outline="0" collapsedLevelsAreSubtotals="1" fieldPosition="0"/>
    </format>
    <format dxfId="62">
      <pivotArea dataOnly="0" labelOnly="1" grandRow="1" outline="0" fieldPosition="0"/>
    </format>
  </formats>
  <chartFormats count="6">
    <chartFormat chart="12" format="24" series="1">
      <pivotArea type="data" outline="0" fieldPosition="0">
        <references count="1">
          <reference field="4294967294" count="1" selected="0">
            <x v="0"/>
          </reference>
        </references>
      </pivotArea>
    </chartFormat>
    <chartFormat chart="12" format="25">
      <pivotArea type="data" outline="0" fieldPosition="0">
        <references count="2">
          <reference field="4294967294" count="1" selected="0">
            <x v="0"/>
          </reference>
          <reference field="5" count="1" selected="0">
            <x v="0"/>
          </reference>
        </references>
      </pivotArea>
    </chartFormat>
    <chartFormat chart="12" format="26">
      <pivotArea type="data" outline="0" fieldPosition="0">
        <references count="2">
          <reference field="4294967294" count="1" selected="0">
            <x v="0"/>
          </reference>
          <reference field="5" count="1" selected="0">
            <x v="1"/>
          </reference>
        </references>
      </pivotArea>
    </chartFormat>
    <chartFormat chart="12" format="27">
      <pivotArea type="data" outline="0" fieldPosition="0">
        <references count="2">
          <reference field="4294967294" count="1" selected="0">
            <x v="0"/>
          </reference>
          <reference field="5" count="1" selected="0">
            <x v="2"/>
          </reference>
        </references>
      </pivotArea>
    </chartFormat>
    <chartFormat chart="12" format="28">
      <pivotArea type="data" outline="0" fieldPosition="0">
        <references count="2">
          <reference field="4294967294" count="1" selected="0">
            <x v="0"/>
          </reference>
          <reference field="5" count="1" selected="0">
            <x v="3"/>
          </reference>
        </references>
      </pivotArea>
    </chartFormat>
    <chartFormat chart="12" format="29">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52BCF6-A19A-45AA-9E04-FF9B6EA3CDB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1:S11" firstHeaderRow="1" firstDataRow="2" firstDataCol="1"/>
  <pivotFields count="10">
    <pivotField numFmtId="164" showAll="0"/>
    <pivotField axis="axisRow" showAll="0">
      <items count="9">
        <item x="3"/>
        <item x="4"/>
        <item x="7"/>
        <item x="2"/>
        <item x="5"/>
        <item x="1"/>
        <item x="0"/>
        <item x="6"/>
        <item t="default"/>
      </items>
    </pivotField>
    <pivotField showAll="0"/>
    <pivotField showAll="0"/>
    <pivotField showAll="0"/>
    <pivotField axis="axisCol" showAll="0">
      <items count="6">
        <item x="4"/>
        <item x="2"/>
        <item x="1"/>
        <item x="3"/>
        <item x="0"/>
        <item t="default"/>
      </items>
    </pivotField>
    <pivotField dataField="1" showAll="0"/>
    <pivotField showAll="0"/>
    <pivotField showAll="0">
      <items count="5">
        <item x="0"/>
        <item x="2"/>
        <item x="3"/>
        <item x="1"/>
        <item t="default"/>
      </items>
    </pivotField>
    <pivotField showAll="0">
      <items count="5">
        <item x="0"/>
        <item x="3"/>
        <item x="2"/>
        <item x="1"/>
        <item t="default"/>
      </items>
    </pivotField>
  </pivotFields>
  <rowFields count="1">
    <field x="1"/>
  </rowFields>
  <rowItems count="9">
    <i>
      <x/>
    </i>
    <i>
      <x v="1"/>
    </i>
    <i>
      <x v="2"/>
    </i>
    <i>
      <x v="3"/>
    </i>
    <i>
      <x v="4"/>
    </i>
    <i>
      <x v="5"/>
    </i>
    <i>
      <x v="6"/>
    </i>
    <i>
      <x v="7"/>
    </i>
    <i t="grand">
      <x/>
    </i>
  </rowItems>
  <colFields count="1">
    <field x="5"/>
  </colFields>
  <colItems count="6">
    <i>
      <x/>
    </i>
    <i>
      <x v="1"/>
    </i>
    <i>
      <x v="2"/>
    </i>
    <i>
      <x v="3"/>
    </i>
    <i>
      <x v="4"/>
    </i>
    <i t="grand">
      <x/>
    </i>
  </colItems>
  <dataFields count="1">
    <dataField name="Average of Speed_kmh" fld="6" subtotal="average" baseField="0" baseItem="0" numFmtId="2"/>
  </dataFields>
  <formats count="17">
    <format dxfId="87">
      <pivotArea type="origin" dataOnly="0" labelOnly="1" outline="0" fieldPosition="0"/>
    </format>
    <format dxfId="86">
      <pivotArea field="5" type="button" dataOnly="0" labelOnly="1" outline="0" axis="axisCol" fieldPosition="0"/>
    </format>
    <format dxfId="85">
      <pivotArea type="topRight" dataOnly="0" labelOnly="1" outline="0" fieldPosition="0"/>
    </format>
    <format dxfId="84">
      <pivotArea field="1" type="button" dataOnly="0" labelOnly="1" outline="0" axis="axisRow" fieldPosition="0"/>
    </format>
    <format dxfId="83">
      <pivotArea dataOnly="0" labelOnly="1" fieldPosition="0">
        <references count="1">
          <reference field="5" count="0"/>
        </references>
      </pivotArea>
    </format>
    <format dxfId="82">
      <pivotArea dataOnly="0" labelOnly="1" grandCol="1" outline="0" fieldPosition="0"/>
    </format>
    <format dxfId="81">
      <pivotArea type="origin" dataOnly="0" labelOnly="1" outline="0" fieldPosition="0"/>
    </format>
    <format dxfId="80">
      <pivotArea field="5" type="button" dataOnly="0" labelOnly="1" outline="0" axis="axisCol" fieldPosition="0"/>
    </format>
    <format dxfId="79">
      <pivotArea type="topRight" dataOnly="0" labelOnly="1" outline="0" fieldPosition="0"/>
    </format>
    <format dxfId="78">
      <pivotArea field="1" type="button" dataOnly="0" labelOnly="1" outline="0" axis="axisRow" fieldPosition="0"/>
    </format>
    <format dxfId="77">
      <pivotArea dataOnly="0" labelOnly="1" fieldPosition="0">
        <references count="1">
          <reference field="5" count="0"/>
        </references>
      </pivotArea>
    </format>
    <format dxfId="76">
      <pivotArea dataOnly="0" labelOnly="1" grandCol="1" outline="0" fieldPosition="0"/>
    </format>
    <format dxfId="75">
      <pivotArea collapsedLevelsAreSubtotals="1" fieldPosition="0">
        <references count="1">
          <reference field="1" count="0"/>
        </references>
      </pivotArea>
    </format>
    <format dxfId="74">
      <pivotArea dataOnly="0" labelOnly="1" fieldPosition="0">
        <references count="1">
          <reference field="1" count="0"/>
        </references>
      </pivotArea>
    </format>
    <format dxfId="73">
      <pivotArea field="1" dataOnly="0" grandRow="1" axis="axisRow" fieldPosition="0">
        <references count="1">
          <reference field="1" count="2">
            <x v="6"/>
            <x v="7"/>
          </reference>
        </references>
      </pivotArea>
    </format>
    <format dxfId="72">
      <pivotArea dataOnly="0" fieldPosition="0">
        <references count="1">
          <reference field="1" count="0"/>
        </references>
      </pivotArea>
    </format>
    <format dxfId="71">
      <pivotArea dataOnly="0" grandRow="1" axis="axisRow" fieldPosition="0"/>
    </format>
  </formats>
  <chartFormats count="9">
    <chartFormat chart="4" format="10" series="1">
      <pivotArea type="data" outline="0" fieldPosition="0">
        <references count="2">
          <reference field="4294967294" count="1" selected="0">
            <x v="0"/>
          </reference>
          <reference field="5" count="1" selected="0">
            <x v="0"/>
          </reference>
        </references>
      </pivotArea>
    </chartFormat>
    <chartFormat chart="4" format="11" series="1">
      <pivotArea type="data" outline="0" fieldPosition="0">
        <references count="2">
          <reference field="4294967294" count="1" selected="0">
            <x v="0"/>
          </reference>
          <reference field="5" count="1" selected="0">
            <x v="1"/>
          </reference>
        </references>
      </pivotArea>
    </chartFormat>
    <chartFormat chart="4" format="12" series="1">
      <pivotArea type="data" outline="0" fieldPosition="0">
        <references count="2">
          <reference field="4294967294" count="1" selected="0">
            <x v="0"/>
          </reference>
          <reference field="5" count="1" selected="0">
            <x v="2"/>
          </reference>
        </references>
      </pivotArea>
    </chartFormat>
    <chartFormat chart="4" format="13" series="1">
      <pivotArea type="data" outline="0" fieldPosition="0">
        <references count="2">
          <reference field="4294967294" count="1" selected="0">
            <x v="0"/>
          </reference>
          <reference field="5" count="1" selected="0">
            <x v="3"/>
          </reference>
        </references>
      </pivotArea>
    </chartFormat>
    <chartFormat chart="4" format="14" series="1">
      <pivotArea type="data" outline="0" fieldPosition="0">
        <references count="2">
          <reference field="4294967294" count="1" selected="0">
            <x v="0"/>
          </reference>
          <reference field="5" count="1" selected="0">
            <x v="4"/>
          </reference>
        </references>
      </pivotArea>
    </chartFormat>
    <chartFormat chart="4" format="15" series="1">
      <pivotArea type="data" outline="0" fieldPosition="0">
        <references count="1">
          <reference field="4294967294" count="1" selected="0">
            <x v="0"/>
          </reference>
        </references>
      </pivotArea>
    </chartFormat>
    <chartFormat chart="4" format="17">
      <pivotArea type="data" outline="0" fieldPosition="0">
        <references count="3">
          <reference field="4294967294" count="1" selected="0">
            <x v="0"/>
          </reference>
          <reference field="1" count="1" selected="0">
            <x v="0"/>
          </reference>
          <reference field="5" count="1" selected="0">
            <x v="4"/>
          </reference>
        </references>
      </pivotArea>
    </chartFormat>
    <chartFormat chart="4" format="18">
      <pivotArea type="data" outline="0" fieldPosition="0">
        <references count="3">
          <reference field="4294967294" count="1" selected="0">
            <x v="0"/>
          </reference>
          <reference field="1" count="1" selected="0">
            <x v="1"/>
          </reference>
          <reference field="5" count="1" selected="0">
            <x v="4"/>
          </reference>
        </references>
      </pivotArea>
    </chartFormat>
    <chartFormat chart="4" format="19">
      <pivotArea type="data" outline="0" fieldPosition="0">
        <references count="3">
          <reference field="4294967294" count="1" selected="0">
            <x v="0"/>
          </reference>
          <reference field="1" count="1" selected="0">
            <x v="2"/>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C04B686A-026C-407F-BD3C-0E0BA75A764C}" sourceName="Weather">
  <pivotTables>
    <pivotTable tabId="2" name="PivotTable1"/>
    <pivotTable tabId="2" name="PivotTable2"/>
    <pivotTable tabId="2" name="PivotTable4"/>
    <pivotTable tabId="2" name="PivotTable5"/>
    <pivotTable tabId="2" name="PivotTable7"/>
    <pivotTable tabId="2" name="PivotTable8"/>
  </pivotTables>
  <data>
    <tabular pivotCacheId="1188086034">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706A2B9-F57B-4D25-921C-DDBD64EC5A8A}" sourceName="Location">
  <pivotTables>
    <pivotTable tabId="2" name="PivotTable1"/>
    <pivotTable tabId="2" name="PivotTable2"/>
    <pivotTable tabId="2" name="PivotTable4"/>
    <pivotTable tabId="2" name="PivotTable5"/>
    <pivotTable tabId="2" name="PivotTable7"/>
    <pivotTable tabId="2" name="PivotTable8"/>
    <pivotTable tabId="2" name="PivotTable9"/>
  </pivotTables>
  <data>
    <tabular pivotCacheId="1188086034">
      <items count="8">
        <i x="3" s="1"/>
        <i x="4" s="1"/>
        <i x="7" s="1"/>
        <i x="2" s="1"/>
        <i x="5"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_Condition" xr10:uid="{AF6BBF70-C22B-4C2A-970F-DD3A5FC330D6}" sourceName="Traffic_Condition">
  <pivotTables>
    <pivotTable tabId="2" name="PivotTable4"/>
    <pivotTable tabId="2" name="PivotTable1"/>
    <pivotTable tabId="2" name="PivotTable2"/>
    <pivotTable tabId="2" name="PivotTable7"/>
    <pivotTable tabId="2" name="PivotTable8"/>
    <pivotTable tabId="2" name="PivotTable9"/>
  </pivotTables>
  <data>
    <tabular pivotCacheId="1188086034">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37F1E622-EEBF-496C-9C2F-957E4CAEAA01}" sourceName="Vehicle_Type">
  <pivotTables>
    <pivotTable tabId="2" name="PivotTable4"/>
    <pivotTable tabId="2" name="PivotTable1"/>
    <pivotTable tabId="2" name="PivotTable2"/>
    <pivotTable tabId="2" name="PivotTable7"/>
    <pivotTable tabId="2" name="PivotTable8"/>
    <pivotTable tabId="2" name="PivotTable9"/>
  </pivotTables>
  <data>
    <tabular pivotCacheId="1188086034">
      <items count="5">
        <i x="4" s="1"/>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xr10:uid="{A6F64529-E560-4CDC-A073-DD6249B3C3B7}" cache="Slicer_Weather" caption="Weather" style="SlicerStyleLight5 2" rowHeight="252000"/>
  <slicer name="Location" xr10:uid="{5FF1BC76-82EA-43B9-83F8-B7A8229C8B3C}" cache="Slicer_Location" caption="Location" style="SlicerStyleLight5 2" rowHeight="252000"/>
  <slicer name="Traffic_Condition" xr10:uid="{8BCBBBAC-E179-41A4-814D-4723FB2F7748}" cache="Slicer_Traffic_Condition" caption="Traffic_Condition" style="SlicerStyleLight5 2" rowHeight="288000"/>
  <slicer name="Vehicle_Type" xr10:uid="{02E82896-0A06-4C0C-99FA-09F2C707EAA7}" cache="Slicer_Vehicle_Type" caption="Vehicle_Type" style="SlicerStyleLight5 2"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36DC17-1AEA-45A0-A9E5-307BE5B5A1FC}" name="Table1" displayName="Table1" ref="A1:J201" totalsRowShown="0" headerRowDxfId="101" dataDxfId="99" headerRowBorderDxfId="100" tableBorderDxfId="98">
  <autoFilter ref="A1:J201" xr:uid="{4C36DC17-1AEA-45A0-A9E5-307BE5B5A1FC}"/>
  <tableColumns count="10">
    <tableColumn id="1" xr3:uid="{70627651-8BC6-46A1-B661-23853A4535C3}" name="Timestamp" dataDxfId="97"/>
    <tableColumn id="2" xr3:uid="{49F0B1BA-2EE3-434F-9961-C7068BC6918D}" name="Location" dataDxfId="96"/>
    <tableColumn id="3" xr3:uid="{DA667A15-46E4-44B2-9F6D-D0E4EEDCD11C}" name="Latitude" dataDxfId="95"/>
    <tableColumn id="4" xr3:uid="{5E983B65-7C84-4BEB-8DFD-F23D50BDFB4C}" name="Longitude" dataDxfId="94"/>
    <tableColumn id="5" xr3:uid="{1DE1B9FB-61ED-4AA0-A26C-83A768DAC97D}" name="Road_Type" dataDxfId="93"/>
    <tableColumn id="6" xr3:uid="{9EA2FCA7-D181-4BDE-99E4-D3617105B026}" name="Vehicle_Type" dataDxfId="92"/>
    <tableColumn id="7" xr3:uid="{C6AAC416-1FBA-4D80-A2A8-D466B22F3968}" name="Speed_kmh" dataDxfId="91"/>
    <tableColumn id="8" xr3:uid="{A2E406D3-1082-4147-BDE2-1878A113F846}" name="Travel_Time_mins" dataDxfId="90"/>
    <tableColumn id="9" xr3:uid="{BD49D721-1041-4409-9C99-B78E599D0B98}" name="Traffic_Condition" dataDxfId="89"/>
    <tableColumn id="10" xr3:uid="{40ABA82C-938D-44E4-8E90-FB039EB23E98}" name="Weather" dataDxfId="88"/>
  </tableColumns>
  <tableStyleInfo name="TableStyleDark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A86021D-6782-4B45-B215-053B6C85F94E}">
  <we:reference id="wa200010215" version="2.0.0.1" store="en-US" storeType="OMEX"/>
  <we:alternateReferences>
    <we:reference id="wa200010215" version="2.0.0.1" store="WA200010215" storeType="OMEX"/>
  </we:alternateReferences>
  <we:properties>
    <we:property name="bps.codex_control.document_id" value="&quot;0c384de1-7363-4c6f-855c-fe405098802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DF6AC-167D-49CE-A4F8-DABEAED11E99}">
  <sheetPr>
    <pageSetUpPr autoPageBreaks="0"/>
  </sheetPr>
  <dimension ref="A1:BJ99"/>
  <sheetViews>
    <sheetView showGridLines="0" showRowColHeaders="0" tabSelected="1" zoomScale="29" zoomScaleNormal="34" workbookViewId="0">
      <selection activeCell="BO35" sqref="BO35"/>
    </sheetView>
  </sheetViews>
  <sheetFormatPr defaultRowHeight="14.4" x14ac:dyDescent="0.3"/>
  <sheetData>
    <row r="1" spans="1:62" ht="14.4" customHeight="1" x14ac:dyDescent="0.3">
      <c r="A1" s="15" t="s">
        <v>41</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row>
    <row r="2" spans="1:62" ht="14.4" customHeight="1"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row>
    <row r="3" spans="1:62"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row>
    <row r="4" spans="1:62"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row>
    <row r="5" spans="1:62"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row>
    <row r="6" spans="1:62"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row>
    <row r="7" spans="1:62"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row>
    <row r="8" spans="1:62"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62" x14ac:dyDescent="0.3">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62" ht="15.6" x14ac:dyDescent="0.3">
      <c r="A10" s="16">
        <f>COUNTA(Table1[Location])</f>
        <v>200</v>
      </c>
      <c r="B10" s="16"/>
      <c r="C10" s="16"/>
      <c r="D10" s="16"/>
      <c r="E10" s="16"/>
      <c r="F10" s="16"/>
      <c r="G10" s="16"/>
      <c r="H10" s="16"/>
      <c r="I10" s="16"/>
      <c r="J10" s="16"/>
      <c r="K10" s="3"/>
      <c r="L10" s="16">
        <f>AVERAGE(Table1[Speed_kmh])</f>
        <v>30.765000000000001</v>
      </c>
      <c r="M10" s="16"/>
      <c r="N10" s="16"/>
      <c r="O10" s="16"/>
      <c r="P10" s="16"/>
      <c r="Q10" s="16"/>
      <c r="R10" s="16"/>
      <c r="S10" s="16"/>
      <c r="T10" s="16"/>
      <c r="U10" s="3"/>
      <c r="V10" s="16">
        <f>AVERAGE(Table1[Travel_Time_mins])</f>
        <v>14.316300000000002</v>
      </c>
      <c r="W10" s="16"/>
      <c r="X10" s="16"/>
      <c r="Y10" s="16"/>
      <c r="Z10" s="16"/>
      <c r="AA10" s="16"/>
      <c r="AB10" s="16"/>
      <c r="AC10" s="16"/>
      <c r="AD10" s="16"/>
      <c r="AE10" s="3"/>
      <c r="AF10" s="16" t="s">
        <v>42</v>
      </c>
      <c r="AG10" s="16"/>
      <c r="AH10" s="16"/>
      <c r="AI10" s="16"/>
      <c r="AJ10" s="16"/>
      <c r="AK10" s="16"/>
      <c r="AL10" s="16"/>
      <c r="AM10" s="16"/>
      <c r="AN10" s="16"/>
      <c r="AO10" s="3"/>
      <c r="AP10" s="16">
        <f>((COUNTIF(Table1[Traffic_Condition],"congested")+COUNTIF(Table1[Traffic_Condition],"high"))/COUNTA(Table1[Traffic_Condition]))*100</f>
        <v>35.5</v>
      </c>
      <c r="AQ10" s="16"/>
      <c r="AR10" s="16"/>
      <c r="AS10" s="16"/>
      <c r="AT10" s="16"/>
      <c r="AU10" s="16"/>
      <c r="AV10" s="16"/>
      <c r="AW10" s="16"/>
      <c r="AX10" s="16"/>
      <c r="AY10" s="16"/>
      <c r="AZ10" s="3"/>
      <c r="BA10" s="3"/>
      <c r="BB10" s="3"/>
      <c r="BC10" s="3"/>
      <c r="BD10" s="3"/>
      <c r="BJ10" s="9"/>
    </row>
    <row r="11" spans="1:62" x14ac:dyDescent="0.3">
      <c r="A11" s="16"/>
      <c r="B11" s="16"/>
      <c r="C11" s="16"/>
      <c r="D11" s="16"/>
      <c r="E11" s="16"/>
      <c r="F11" s="16"/>
      <c r="G11" s="16"/>
      <c r="H11" s="16"/>
      <c r="I11" s="16"/>
      <c r="J11" s="16"/>
      <c r="K11" s="3"/>
      <c r="L11" s="16"/>
      <c r="M11" s="16"/>
      <c r="N11" s="16"/>
      <c r="O11" s="16"/>
      <c r="P11" s="16"/>
      <c r="Q11" s="16"/>
      <c r="R11" s="16"/>
      <c r="S11" s="16"/>
      <c r="T11" s="16"/>
      <c r="U11" s="3"/>
      <c r="V11" s="16"/>
      <c r="W11" s="16"/>
      <c r="X11" s="16"/>
      <c r="Y11" s="16"/>
      <c r="Z11" s="16"/>
      <c r="AA11" s="16"/>
      <c r="AB11" s="16"/>
      <c r="AC11" s="16"/>
      <c r="AD11" s="16"/>
      <c r="AE11" s="3"/>
      <c r="AF11" s="16"/>
      <c r="AG11" s="16"/>
      <c r="AH11" s="16"/>
      <c r="AI11" s="16"/>
      <c r="AJ11" s="16"/>
      <c r="AK11" s="16"/>
      <c r="AL11" s="16"/>
      <c r="AM11" s="16"/>
      <c r="AN11" s="16"/>
      <c r="AO11" s="3"/>
      <c r="AP11" s="16"/>
      <c r="AQ11" s="16"/>
      <c r="AR11" s="16"/>
      <c r="AS11" s="16"/>
      <c r="AT11" s="16"/>
      <c r="AU11" s="16"/>
      <c r="AV11" s="16"/>
      <c r="AW11" s="16"/>
      <c r="AX11" s="16"/>
      <c r="AY11" s="16"/>
      <c r="AZ11" s="3"/>
      <c r="BA11" s="3"/>
      <c r="BB11" s="3"/>
      <c r="BC11" s="3"/>
      <c r="BD11" s="3"/>
    </row>
    <row r="12" spans="1:62" x14ac:dyDescent="0.3">
      <c r="A12" s="16"/>
      <c r="B12" s="16"/>
      <c r="C12" s="16"/>
      <c r="D12" s="16"/>
      <c r="E12" s="16"/>
      <c r="F12" s="16"/>
      <c r="G12" s="16"/>
      <c r="H12" s="16"/>
      <c r="I12" s="16"/>
      <c r="J12" s="16"/>
      <c r="K12" s="3"/>
      <c r="L12" s="16"/>
      <c r="M12" s="16"/>
      <c r="N12" s="16"/>
      <c r="O12" s="16"/>
      <c r="P12" s="16"/>
      <c r="Q12" s="16"/>
      <c r="R12" s="16"/>
      <c r="S12" s="16"/>
      <c r="T12" s="16"/>
      <c r="U12" s="3"/>
      <c r="V12" s="16"/>
      <c r="W12" s="16"/>
      <c r="X12" s="16"/>
      <c r="Y12" s="16"/>
      <c r="Z12" s="16"/>
      <c r="AA12" s="16"/>
      <c r="AB12" s="16"/>
      <c r="AC12" s="16"/>
      <c r="AD12" s="16"/>
      <c r="AE12" s="3"/>
      <c r="AF12" s="16"/>
      <c r="AG12" s="16"/>
      <c r="AH12" s="16"/>
      <c r="AI12" s="16"/>
      <c r="AJ12" s="16"/>
      <c r="AK12" s="16"/>
      <c r="AL12" s="16"/>
      <c r="AM12" s="16"/>
      <c r="AN12" s="16"/>
      <c r="AO12" s="3"/>
      <c r="AP12" s="16"/>
      <c r="AQ12" s="16"/>
      <c r="AR12" s="16"/>
      <c r="AS12" s="16"/>
      <c r="AT12" s="16"/>
      <c r="AU12" s="16"/>
      <c r="AV12" s="16"/>
      <c r="AW12" s="16"/>
      <c r="AX12" s="16"/>
      <c r="AY12" s="16"/>
      <c r="AZ12" s="3"/>
      <c r="BA12" s="3"/>
      <c r="BB12" s="3"/>
      <c r="BC12" s="3"/>
      <c r="BD12" s="3"/>
    </row>
    <row r="13" spans="1:62" x14ac:dyDescent="0.3">
      <c r="A13" s="16"/>
      <c r="B13" s="16"/>
      <c r="C13" s="16"/>
      <c r="D13" s="16"/>
      <c r="E13" s="16"/>
      <c r="F13" s="16"/>
      <c r="G13" s="16"/>
      <c r="H13" s="16"/>
      <c r="I13" s="16"/>
      <c r="J13" s="16"/>
      <c r="K13" s="3"/>
      <c r="L13" s="16"/>
      <c r="M13" s="16"/>
      <c r="N13" s="16"/>
      <c r="O13" s="16"/>
      <c r="P13" s="16"/>
      <c r="Q13" s="16"/>
      <c r="R13" s="16"/>
      <c r="S13" s="16"/>
      <c r="T13" s="16"/>
      <c r="U13" s="3"/>
      <c r="V13" s="16"/>
      <c r="W13" s="16"/>
      <c r="X13" s="16"/>
      <c r="Y13" s="16"/>
      <c r="Z13" s="16"/>
      <c r="AA13" s="16"/>
      <c r="AB13" s="16"/>
      <c r="AC13" s="16"/>
      <c r="AD13" s="16"/>
      <c r="AE13" s="3"/>
      <c r="AF13" s="16"/>
      <c r="AG13" s="16"/>
      <c r="AH13" s="16"/>
      <c r="AI13" s="16"/>
      <c r="AJ13" s="16"/>
      <c r="AK13" s="16"/>
      <c r="AL13" s="16"/>
      <c r="AM13" s="16"/>
      <c r="AN13" s="16"/>
      <c r="AO13" s="3"/>
      <c r="AP13" s="16"/>
      <c r="AQ13" s="16"/>
      <c r="AR13" s="16"/>
      <c r="AS13" s="16"/>
      <c r="AT13" s="16"/>
      <c r="AU13" s="16"/>
      <c r="AV13" s="16"/>
      <c r="AW13" s="16"/>
      <c r="AX13" s="16"/>
      <c r="AY13" s="16"/>
      <c r="AZ13" s="3"/>
      <c r="BA13" s="3"/>
      <c r="BB13" s="3"/>
      <c r="BC13" s="3"/>
      <c r="BD13" s="3"/>
    </row>
    <row r="14" spans="1:62" x14ac:dyDescent="0.3">
      <c r="A14" s="16"/>
      <c r="B14" s="16"/>
      <c r="C14" s="16"/>
      <c r="D14" s="16"/>
      <c r="E14" s="16"/>
      <c r="F14" s="16"/>
      <c r="G14" s="16"/>
      <c r="H14" s="16"/>
      <c r="I14" s="16"/>
      <c r="J14" s="16"/>
      <c r="K14" s="3"/>
      <c r="L14" s="16"/>
      <c r="M14" s="16"/>
      <c r="N14" s="16"/>
      <c r="O14" s="16"/>
      <c r="P14" s="16"/>
      <c r="Q14" s="16"/>
      <c r="R14" s="16"/>
      <c r="S14" s="16"/>
      <c r="T14" s="16"/>
      <c r="U14" s="3"/>
      <c r="V14" s="16"/>
      <c r="W14" s="16"/>
      <c r="X14" s="16"/>
      <c r="Y14" s="16"/>
      <c r="Z14" s="16"/>
      <c r="AA14" s="16"/>
      <c r="AB14" s="16"/>
      <c r="AC14" s="16"/>
      <c r="AD14" s="16"/>
      <c r="AE14" s="3"/>
      <c r="AF14" s="16"/>
      <c r="AG14" s="16"/>
      <c r="AH14" s="16"/>
      <c r="AI14" s="16"/>
      <c r="AJ14" s="16"/>
      <c r="AK14" s="16"/>
      <c r="AL14" s="16"/>
      <c r="AM14" s="16"/>
      <c r="AN14" s="16"/>
      <c r="AO14" s="3"/>
      <c r="AP14" s="16"/>
      <c r="AQ14" s="16"/>
      <c r="AR14" s="16"/>
      <c r="AS14" s="16"/>
      <c r="AT14" s="16"/>
      <c r="AU14" s="16"/>
      <c r="AV14" s="16"/>
      <c r="AW14" s="16"/>
      <c r="AX14" s="16"/>
      <c r="AY14" s="16"/>
      <c r="AZ14" s="3"/>
      <c r="BA14" s="3"/>
      <c r="BB14" s="3"/>
      <c r="BC14" s="3"/>
      <c r="BD14" s="3"/>
    </row>
    <row r="15" spans="1:62" x14ac:dyDescent="0.3">
      <c r="A15" s="16"/>
      <c r="B15" s="16"/>
      <c r="C15" s="16"/>
      <c r="D15" s="16"/>
      <c r="E15" s="16"/>
      <c r="F15" s="16"/>
      <c r="G15" s="16"/>
      <c r="H15" s="16"/>
      <c r="I15" s="16"/>
      <c r="J15" s="16"/>
      <c r="K15" s="3"/>
      <c r="L15" s="16"/>
      <c r="M15" s="16"/>
      <c r="N15" s="16"/>
      <c r="O15" s="16"/>
      <c r="P15" s="16"/>
      <c r="Q15" s="16"/>
      <c r="R15" s="16"/>
      <c r="S15" s="16"/>
      <c r="T15" s="16"/>
      <c r="U15" s="3"/>
      <c r="V15" s="16"/>
      <c r="W15" s="16"/>
      <c r="X15" s="16"/>
      <c r="Y15" s="16"/>
      <c r="Z15" s="16"/>
      <c r="AA15" s="16"/>
      <c r="AB15" s="16"/>
      <c r="AC15" s="16"/>
      <c r="AD15" s="16"/>
      <c r="AE15" s="3"/>
      <c r="AF15" s="16"/>
      <c r="AG15" s="16"/>
      <c r="AH15" s="16"/>
      <c r="AI15" s="16"/>
      <c r="AJ15" s="16"/>
      <c r="AK15" s="16"/>
      <c r="AL15" s="16"/>
      <c r="AM15" s="16"/>
      <c r="AN15" s="16"/>
      <c r="AO15" s="3"/>
      <c r="AP15" s="16"/>
      <c r="AQ15" s="16"/>
      <c r="AR15" s="16"/>
      <c r="AS15" s="16"/>
      <c r="AT15" s="16"/>
      <c r="AU15" s="16"/>
      <c r="AV15" s="16"/>
      <c r="AW15" s="16"/>
      <c r="AX15" s="16"/>
      <c r="AY15" s="16"/>
      <c r="AZ15" s="3"/>
      <c r="BA15" s="3"/>
      <c r="BB15" s="3"/>
      <c r="BC15" s="3"/>
      <c r="BD15" s="3"/>
    </row>
    <row r="16" spans="1:62" x14ac:dyDescent="0.3">
      <c r="A16" s="16"/>
      <c r="B16" s="16"/>
      <c r="C16" s="16"/>
      <c r="D16" s="16"/>
      <c r="E16" s="16"/>
      <c r="F16" s="16"/>
      <c r="G16" s="16"/>
      <c r="H16" s="16"/>
      <c r="I16" s="16"/>
      <c r="J16" s="16"/>
      <c r="K16" s="3"/>
      <c r="L16" s="16"/>
      <c r="M16" s="16"/>
      <c r="N16" s="16"/>
      <c r="O16" s="16"/>
      <c r="P16" s="16"/>
      <c r="Q16" s="16"/>
      <c r="R16" s="16"/>
      <c r="S16" s="16"/>
      <c r="T16" s="16"/>
      <c r="U16" s="3"/>
      <c r="V16" s="16"/>
      <c r="W16" s="16"/>
      <c r="X16" s="16"/>
      <c r="Y16" s="16"/>
      <c r="Z16" s="16"/>
      <c r="AA16" s="16"/>
      <c r="AB16" s="16"/>
      <c r="AC16" s="16"/>
      <c r="AD16" s="16"/>
      <c r="AE16" s="3"/>
      <c r="AF16" s="16"/>
      <c r="AG16" s="16"/>
      <c r="AH16" s="16"/>
      <c r="AI16" s="16"/>
      <c r="AJ16" s="16"/>
      <c r="AK16" s="16"/>
      <c r="AL16" s="16"/>
      <c r="AM16" s="16"/>
      <c r="AN16" s="16"/>
      <c r="AO16" s="3"/>
      <c r="AP16" s="16"/>
      <c r="AQ16" s="16"/>
      <c r="AR16" s="16"/>
      <c r="AS16" s="16"/>
      <c r="AT16" s="16"/>
      <c r="AU16" s="16"/>
      <c r="AV16" s="16"/>
      <c r="AW16" s="16"/>
      <c r="AX16" s="16"/>
      <c r="AY16" s="16"/>
      <c r="AZ16" s="3"/>
      <c r="BA16" s="3"/>
      <c r="BB16" s="3"/>
      <c r="BC16" s="3"/>
      <c r="BD16" s="3"/>
    </row>
    <row r="17" spans="1:56" x14ac:dyDescent="0.3">
      <c r="A17" s="16"/>
      <c r="B17" s="16"/>
      <c r="C17" s="16"/>
      <c r="D17" s="16"/>
      <c r="E17" s="16"/>
      <c r="F17" s="16"/>
      <c r="G17" s="16"/>
      <c r="H17" s="16"/>
      <c r="I17" s="16"/>
      <c r="J17" s="16"/>
      <c r="K17" s="3"/>
      <c r="L17" s="16"/>
      <c r="M17" s="16"/>
      <c r="N17" s="16"/>
      <c r="O17" s="16"/>
      <c r="P17" s="16"/>
      <c r="Q17" s="16"/>
      <c r="R17" s="16"/>
      <c r="S17" s="16"/>
      <c r="T17" s="16"/>
      <c r="U17" s="3"/>
      <c r="V17" s="16"/>
      <c r="W17" s="16"/>
      <c r="X17" s="16"/>
      <c r="Y17" s="16"/>
      <c r="Z17" s="16"/>
      <c r="AA17" s="16"/>
      <c r="AB17" s="16"/>
      <c r="AC17" s="16"/>
      <c r="AD17" s="16"/>
      <c r="AE17" s="3"/>
      <c r="AF17" s="16"/>
      <c r="AG17" s="16"/>
      <c r="AH17" s="16"/>
      <c r="AI17" s="16"/>
      <c r="AJ17" s="16"/>
      <c r="AK17" s="16"/>
      <c r="AL17" s="16"/>
      <c r="AM17" s="16"/>
      <c r="AN17" s="16"/>
      <c r="AO17" s="3"/>
      <c r="AP17" s="16"/>
      <c r="AQ17" s="16"/>
      <c r="AR17" s="16"/>
      <c r="AS17" s="16"/>
      <c r="AT17" s="16"/>
      <c r="AU17" s="16"/>
      <c r="AV17" s="16"/>
      <c r="AW17" s="16"/>
      <c r="AX17" s="16"/>
      <c r="AY17" s="16"/>
      <c r="AZ17" s="3"/>
      <c r="BA17" s="3"/>
      <c r="BB17" s="3"/>
      <c r="BC17" s="3"/>
      <c r="BD17" s="3"/>
    </row>
    <row r="18" spans="1:56" x14ac:dyDescent="0.3">
      <c r="A18" s="16"/>
      <c r="B18" s="16"/>
      <c r="C18" s="16"/>
      <c r="D18" s="16"/>
      <c r="E18" s="16"/>
      <c r="F18" s="16"/>
      <c r="G18" s="16"/>
      <c r="H18" s="16"/>
      <c r="I18" s="16"/>
      <c r="J18" s="16"/>
      <c r="K18" s="3"/>
      <c r="L18" s="16"/>
      <c r="M18" s="16"/>
      <c r="N18" s="16"/>
      <c r="O18" s="16"/>
      <c r="P18" s="16"/>
      <c r="Q18" s="16"/>
      <c r="R18" s="16"/>
      <c r="S18" s="16"/>
      <c r="T18" s="16"/>
      <c r="U18" s="3"/>
      <c r="V18" s="16"/>
      <c r="W18" s="16"/>
      <c r="X18" s="16"/>
      <c r="Y18" s="16"/>
      <c r="Z18" s="16"/>
      <c r="AA18" s="16"/>
      <c r="AB18" s="16"/>
      <c r="AC18" s="16"/>
      <c r="AD18" s="16"/>
      <c r="AE18" s="3"/>
      <c r="AF18" s="16"/>
      <c r="AG18" s="16"/>
      <c r="AH18" s="16"/>
      <c r="AI18" s="16"/>
      <c r="AJ18" s="16"/>
      <c r="AK18" s="16"/>
      <c r="AL18" s="16"/>
      <c r="AM18" s="16"/>
      <c r="AN18" s="16"/>
      <c r="AO18" s="3"/>
      <c r="AP18" s="16"/>
      <c r="AQ18" s="16"/>
      <c r="AR18" s="16"/>
      <c r="AS18" s="16"/>
      <c r="AT18" s="16"/>
      <c r="AU18" s="16"/>
      <c r="AV18" s="16"/>
      <c r="AW18" s="16"/>
      <c r="AX18" s="16"/>
      <c r="AY18" s="16"/>
      <c r="AZ18" s="3"/>
      <c r="BA18" s="3"/>
      <c r="BB18" s="3"/>
      <c r="BC18" s="3"/>
      <c r="BD18" s="3"/>
    </row>
    <row r="19" spans="1:56" x14ac:dyDescent="0.3">
      <c r="A19" s="16"/>
      <c r="B19" s="16"/>
      <c r="C19" s="16"/>
      <c r="D19" s="16"/>
      <c r="E19" s="16"/>
      <c r="F19" s="16"/>
      <c r="G19" s="16"/>
      <c r="H19" s="16"/>
      <c r="I19" s="16"/>
      <c r="J19" s="16"/>
      <c r="K19" s="3"/>
      <c r="L19" s="16"/>
      <c r="M19" s="16"/>
      <c r="N19" s="16"/>
      <c r="O19" s="16"/>
      <c r="P19" s="16"/>
      <c r="Q19" s="16"/>
      <c r="R19" s="16"/>
      <c r="S19" s="16"/>
      <c r="T19" s="16"/>
      <c r="U19" s="3"/>
      <c r="V19" s="16"/>
      <c r="W19" s="16"/>
      <c r="X19" s="16"/>
      <c r="Y19" s="16"/>
      <c r="Z19" s="16"/>
      <c r="AA19" s="16"/>
      <c r="AB19" s="16"/>
      <c r="AC19" s="16"/>
      <c r="AD19" s="16"/>
      <c r="AE19" s="3"/>
      <c r="AF19" s="16"/>
      <c r="AG19" s="16"/>
      <c r="AH19" s="16"/>
      <c r="AI19" s="16"/>
      <c r="AJ19" s="16"/>
      <c r="AK19" s="16"/>
      <c r="AL19" s="16"/>
      <c r="AM19" s="16"/>
      <c r="AN19" s="16"/>
      <c r="AO19" s="3"/>
      <c r="AP19" s="16"/>
      <c r="AQ19" s="16"/>
      <c r="AR19" s="16"/>
      <c r="AS19" s="16"/>
      <c r="AT19" s="16"/>
      <c r="AU19" s="16"/>
      <c r="AV19" s="16"/>
      <c r="AW19" s="16"/>
      <c r="AX19" s="16"/>
      <c r="AY19" s="16"/>
      <c r="AZ19" s="3"/>
      <c r="BA19" s="3"/>
      <c r="BB19" s="3"/>
      <c r="BC19" s="3"/>
      <c r="BD19" s="3"/>
    </row>
    <row r="20" spans="1:56"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sheetData>
  <mergeCells count="6">
    <mergeCell ref="A1:BD7"/>
    <mergeCell ref="A10:J19"/>
    <mergeCell ref="L10:T19"/>
    <mergeCell ref="V10:AD19"/>
    <mergeCell ref="AF10:AN19"/>
    <mergeCell ref="AP10:AY1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zoomScale="92" workbookViewId="0">
      <pane ySplit="1" topLeftCell="A2" activePane="bottomLeft" state="frozen"/>
      <selection activeCell="B1" sqref="B1"/>
      <selection pane="bottomLeft" activeCell="L5" sqref="L5"/>
    </sheetView>
  </sheetViews>
  <sheetFormatPr defaultRowHeight="14.4" x14ac:dyDescent="0.3"/>
  <cols>
    <col min="1" max="1" width="24.21875" style="10" customWidth="1"/>
    <col min="2" max="2" width="28.44140625" style="10" customWidth="1"/>
    <col min="3" max="3" width="16.109375" style="10" customWidth="1"/>
    <col min="4" max="4" width="13.88671875" style="10" bestFit="1" customWidth="1"/>
    <col min="5" max="5" width="14.88671875" style="10" bestFit="1" customWidth="1"/>
    <col min="6" max="6" width="16.6640625" style="10" bestFit="1" customWidth="1"/>
    <col min="7" max="7" width="15.44140625" style="10" bestFit="1" customWidth="1"/>
    <col min="8" max="8" width="20.77734375" style="10" bestFit="1" customWidth="1"/>
    <col min="9" max="9" width="20.109375" style="10" bestFit="1" customWidth="1"/>
    <col min="10" max="10" width="12.6640625" style="10" bestFit="1" customWidth="1"/>
    <col min="11" max="16384" width="8.88671875" style="10"/>
  </cols>
  <sheetData>
    <row r="1" spans="1:10" x14ac:dyDescent="0.3">
      <c r="A1" s="1" t="s">
        <v>0</v>
      </c>
      <c r="B1" s="2" t="s">
        <v>1</v>
      </c>
      <c r="C1" s="2" t="s">
        <v>2</v>
      </c>
      <c r="D1" s="2" t="s">
        <v>3</v>
      </c>
      <c r="E1" s="2" t="s">
        <v>4</v>
      </c>
      <c r="F1" s="2" t="s">
        <v>5</v>
      </c>
      <c r="G1" s="2" t="s">
        <v>6</v>
      </c>
      <c r="H1" s="2" t="s">
        <v>7</v>
      </c>
      <c r="I1" s="2" t="s">
        <v>8</v>
      </c>
      <c r="J1" s="2" t="s">
        <v>9</v>
      </c>
    </row>
    <row r="2" spans="1:10" ht="20.55" customHeight="1" x14ac:dyDescent="0.3">
      <c r="A2" s="11">
        <v>46279.844224537039</v>
      </c>
      <c r="B2" s="12" t="s">
        <v>10</v>
      </c>
      <c r="C2" s="12">
        <v>28.545300000000001</v>
      </c>
      <c r="D2" s="12">
        <v>77.192499999999995</v>
      </c>
      <c r="E2" s="12" t="s">
        <v>11</v>
      </c>
      <c r="F2" s="12" t="s">
        <v>12</v>
      </c>
      <c r="G2" s="12">
        <v>6</v>
      </c>
      <c r="H2" s="12">
        <v>50</v>
      </c>
      <c r="I2" s="12" t="s">
        <v>13</v>
      </c>
      <c r="J2" s="12" t="s">
        <v>14</v>
      </c>
    </row>
    <row r="3" spans="1:10" ht="20.55" customHeight="1" x14ac:dyDescent="0.3">
      <c r="A3" s="11">
        <v>46268.185925925929</v>
      </c>
      <c r="B3" s="12" t="s">
        <v>10</v>
      </c>
      <c r="C3" s="12">
        <v>28.545300000000001</v>
      </c>
      <c r="D3" s="12">
        <v>77.192499999999995</v>
      </c>
      <c r="E3" s="12" t="s">
        <v>11</v>
      </c>
      <c r="F3" s="12" t="s">
        <v>15</v>
      </c>
      <c r="G3" s="12">
        <v>24</v>
      </c>
      <c r="H3" s="12">
        <v>12.5</v>
      </c>
      <c r="I3" s="12" t="s">
        <v>16</v>
      </c>
      <c r="J3" s="12" t="s">
        <v>17</v>
      </c>
    </row>
    <row r="4" spans="1:10" ht="20.55" customHeight="1" x14ac:dyDescent="0.3">
      <c r="A4" s="11">
        <v>46270.371863425928</v>
      </c>
      <c r="B4" s="12" t="s">
        <v>18</v>
      </c>
      <c r="C4" s="12">
        <v>28.5562</v>
      </c>
      <c r="D4" s="12">
        <v>77.099999999999994</v>
      </c>
      <c r="E4" s="12" t="s">
        <v>19</v>
      </c>
      <c r="F4" s="12" t="s">
        <v>15</v>
      </c>
      <c r="G4" s="12">
        <v>55</v>
      </c>
      <c r="H4" s="12">
        <v>5.45</v>
      </c>
      <c r="I4" s="12" t="s">
        <v>16</v>
      </c>
      <c r="J4" s="12" t="s">
        <v>14</v>
      </c>
    </row>
    <row r="5" spans="1:10" ht="20.55" customHeight="1" x14ac:dyDescent="0.3">
      <c r="A5" s="11">
        <v>46289.025127314817</v>
      </c>
      <c r="B5" s="12" t="s">
        <v>10</v>
      </c>
      <c r="C5" s="12">
        <v>28.545300000000001</v>
      </c>
      <c r="D5" s="12">
        <v>77.192499999999995</v>
      </c>
      <c r="E5" s="12" t="s">
        <v>11</v>
      </c>
      <c r="F5" s="12" t="s">
        <v>15</v>
      </c>
      <c r="G5" s="12">
        <v>28</v>
      </c>
      <c r="H5" s="12">
        <v>10.71</v>
      </c>
      <c r="I5" s="12" t="s">
        <v>16</v>
      </c>
      <c r="J5" s="12" t="s">
        <v>14</v>
      </c>
    </row>
    <row r="6" spans="1:10" ht="20.55" customHeight="1" x14ac:dyDescent="0.3">
      <c r="A6" s="11">
        <v>46284.653263888889</v>
      </c>
      <c r="B6" s="12" t="s">
        <v>20</v>
      </c>
      <c r="C6" s="12">
        <v>28.571400000000001</v>
      </c>
      <c r="D6" s="12">
        <v>77.281300000000002</v>
      </c>
      <c r="E6" s="12" t="s">
        <v>19</v>
      </c>
      <c r="F6" s="12" t="s">
        <v>21</v>
      </c>
      <c r="G6" s="12">
        <v>56</v>
      </c>
      <c r="H6" s="12">
        <v>5.36</v>
      </c>
      <c r="I6" s="12" t="s">
        <v>16</v>
      </c>
      <c r="J6" s="12" t="s">
        <v>14</v>
      </c>
    </row>
    <row r="7" spans="1:10" ht="20.55" customHeight="1" x14ac:dyDescent="0.3">
      <c r="A7" s="11">
        <v>46282.758796296293</v>
      </c>
      <c r="B7" s="12" t="s">
        <v>10</v>
      </c>
      <c r="C7" s="12">
        <v>28.545300000000001</v>
      </c>
      <c r="D7" s="12">
        <v>77.192499999999995</v>
      </c>
      <c r="E7" s="12" t="s">
        <v>11</v>
      </c>
      <c r="F7" s="12" t="s">
        <v>22</v>
      </c>
      <c r="G7" s="12">
        <v>37</v>
      </c>
      <c r="H7" s="12">
        <v>8.11</v>
      </c>
      <c r="I7" s="12" t="s">
        <v>16</v>
      </c>
      <c r="J7" s="12" t="s">
        <v>14</v>
      </c>
    </row>
    <row r="8" spans="1:10" ht="20.55" customHeight="1" x14ac:dyDescent="0.3">
      <c r="A8" s="11">
        <v>46276.055277777778</v>
      </c>
      <c r="B8" s="12" t="s">
        <v>23</v>
      </c>
      <c r="C8" s="12">
        <v>28.567599999999999</v>
      </c>
      <c r="D8" s="12">
        <v>77.209599999999995</v>
      </c>
      <c r="E8" s="12" t="s">
        <v>11</v>
      </c>
      <c r="F8" s="12" t="s">
        <v>22</v>
      </c>
      <c r="G8" s="12">
        <v>13</v>
      </c>
      <c r="H8" s="12">
        <v>23.08</v>
      </c>
      <c r="I8" s="12" t="s">
        <v>24</v>
      </c>
      <c r="J8" s="12" t="s">
        <v>14</v>
      </c>
    </row>
    <row r="9" spans="1:10" ht="20.55" customHeight="1" x14ac:dyDescent="0.3">
      <c r="A9" s="11">
        <v>46290.773865740739</v>
      </c>
      <c r="B9" s="12" t="s">
        <v>25</v>
      </c>
      <c r="C9" s="12">
        <v>28.656199999999998</v>
      </c>
      <c r="D9" s="12">
        <v>77.231499999999997</v>
      </c>
      <c r="E9" s="12" t="s">
        <v>26</v>
      </c>
      <c r="F9" s="12" t="s">
        <v>15</v>
      </c>
      <c r="G9" s="12">
        <v>25</v>
      </c>
      <c r="H9" s="12">
        <v>12</v>
      </c>
      <c r="I9" s="12" t="s">
        <v>16</v>
      </c>
      <c r="J9" s="12" t="s">
        <v>14</v>
      </c>
    </row>
    <row r="10" spans="1:10" ht="20.55" customHeight="1" x14ac:dyDescent="0.3">
      <c r="A10" s="11">
        <v>46291.356782407413</v>
      </c>
      <c r="B10" s="12" t="s">
        <v>20</v>
      </c>
      <c r="C10" s="12">
        <v>28.571400000000001</v>
      </c>
      <c r="D10" s="12">
        <v>77.281300000000002</v>
      </c>
      <c r="E10" s="12" t="s">
        <v>19</v>
      </c>
      <c r="F10" s="12" t="s">
        <v>27</v>
      </c>
      <c r="G10" s="12">
        <v>57</v>
      </c>
      <c r="H10" s="12">
        <v>5.26</v>
      </c>
      <c r="I10" s="12" t="s">
        <v>16</v>
      </c>
      <c r="J10" s="12" t="s">
        <v>14</v>
      </c>
    </row>
    <row r="11" spans="1:10" ht="20.55" customHeight="1" x14ac:dyDescent="0.3">
      <c r="A11" s="11">
        <v>46272.557789351849</v>
      </c>
      <c r="B11" s="12" t="s">
        <v>28</v>
      </c>
      <c r="C11" s="12">
        <v>28.6129</v>
      </c>
      <c r="D11" s="12">
        <v>77.229500000000002</v>
      </c>
      <c r="E11" s="12" t="s">
        <v>11</v>
      </c>
      <c r="F11" s="12" t="s">
        <v>15</v>
      </c>
      <c r="G11" s="12">
        <v>27</v>
      </c>
      <c r="H11" s="12">
        <v>11.11</v>
      </c>
      <c r="I11" s="12" t="s">
        <v>24</v>
      </c>
      <c r="J11" s="12" t="s">
        <v>14</v>
      </c>
    </row>
    <row r="12" spans="1:10" ht="20.55" customHeight="1" x14ac:dyDescent="0.3">
      <c r="A12" s="11">
        <v>46275.618090277778</v>
      </c>
      <c r="B12" s="12" t="s">
        <v>23</v>
      </c>
      <c r="C12" s="12">
        <v>28.567599999999999</v>
      </c>
      <c r="D12" s="12">
        <v>77.209599999999995</v>
      </c>
      <c r="E12" s="12" t="s">
        <v>11</v>
      </c>
      <c r="F12" s="12" t="s">
        <v>27</v>
      </c>
      <c r="G12" s="12">
        <v>37</v>
      </c>
      <c r="H12" s="12">
        <v>8.11</v>
      </c>
      <c r="I12" s="12" t="s">
        <v>16</v>
      </c>
      <c r="J12" s="12" t="s">
        <v>14</v>
      </c>
    </row>
    <row r="13" spans="1:10" ht="20.55" customHeight="1" x14ac:dyDescent="0.3">
      <c r="A13" s="11">
        <v>46292.522615740738</v>
      </c>
      <c r="B13" s="12" t="s">
        <v>25</v>
      </c>
      <c r="C13" s="12">
        <v>28.656199999999998</v>
      </c>
      <c r="D13" s="12">
        <v>77.231499999999997</v>
      </c>
      <c r="E13" s="12" t="s">
        <v>26</v>
      </c>
      <c r="F13" s="12" t="s">
        <v>15</v>
      </c>
      <c r="G13" s="12">
        <v>19</v>
      </c>
      <c r="H13" s="12">
        <v>15.79</v>
      </c>
      <c r="I13" s="12" t="s">
        <v>16</v>
      </c>
      <c r="J13" s="12" t="s">
        <v>14</v>
      </c>
    </row>
    <row r="14" spans="1:10" ht="20.55" customHeight="1" x14ac:dyDescent="0.3">
      <c r="A14" s="11">
        <v>46290.045231481483</v>
      </c>
      <c r="B14" s="12" t="s">
        <v>28</v>
      </c>
      <c r="C14" s="12">
        <v>28.6129</v>
      </c>
      <c r="D14" s="12">
        <v>77.229500000000002</v>
      </c>
      <c r="E14" s="12" t="s">
        <v>11</v>
      </c>
      <c r="F14" s="12" t="s">
        <v>15</v>
      </c>
      <c r="G14" s="12">
        <v>40</v>
      </c>
      <c r="H14" s="12">
        <v>7.5</v>
      </c>
      <c r="I14" s="12" t="s">
        <v>29</v>
      </c>
      <c r="J14" s="12" t="s">
        <v>30</v>
      </c>
    </row>
    <row r="15" spans="1:10" ht="20.55" customHeight="1" x14ac:dyDescent="0.3">
      <c r="A15" s="11">
        <v>46277.366828703707</v>
      </c>
      <c r="B15" s="12" t="s">
        <v>31</v>
      </c>
      <c r="C15" s="12">
        <v>28.6328</v>
      </c>
      <c r="D15" s="12">
        <v>77.219499999999996</v>
      </c>
      <c r="E15" s="12" t="s">
        <v>11</v>
      </c>
      <c r="F15" s="12" t="s">
        <v>21</v>
      </c>
      <c r="G15" s="12">
        <v>22</v>
      </c>
      <c r="H15" s="12">
        <v>13.64</v>
      </c>
      <c r="I15" s="12" t="s">
        <v>24</v>
      </c>
      <c r="J15" s="12" t="s">
        <v>14</v>
      </c>
    </row>
    <row r="16" spans="1:10" ht="20.55" customHeight="1" x14ac:dyDescent="0.3">
      <c r="A16" s="11">
        <v>46293.105532407397</v>
      </c>
      <c r="B16" s="12" t="s">
        <v>31</v>
      </c>
      <c r="C16" s="12">
        <v>28.6328</v>
      </c>
      <c r="D16" s="12">
        <v>77.219499999999996</v>
      </c>
      <c r="E16" s="12" t="s">
        <v>11</v>
      </c>
      <c r="F16" s="12" t="s">
        <v>27</v>
      </c>
      <c r="G16" s="12">
        <v>6</v>
      </c>
      <c r="H16" s="12">
        <v>50</v>
      </c>
      <c r="I16" s="12" t="s">
        <v>13</v>
      </c>
      <c r="J16" s="12" t="s">
        <v>30</v>
      </c>
    </row>
    <row r="17" spans="1:10" ht="20.55" customHeight="1" x14ac:dyDescent="0.3">
      <c r="A17" s="11">
        <v>46291.793969907398</v>
      </c>
      <c r="B17" s="12" t="s">
        <v>10</v>
      </c>
      <c r="C17" s="12">
        <v>28.545300000000001</v>
      </c>
      <c r="D17" s="12">
        <v>77.192499999999995</v>
      </c>
      <c r="E17" s="12" t="s">
        <v>11</v>
      </c>
      <c r="F17" s="12" t="s">
        <v>15</v>
      </c>
      <c r="G17" s="12">
        <v>36</v>
      </c>
      <c r="H17" s="12">
        <v>8.33</v>
      </c>
      <c r="I17" s="12" t="s">
        <v>16</v>
      </c>
      <c r="J17" s="12" t="s">
        <v>14</v>
      </c>
    </row>
    <row r="18" spans="1:10" ht="20.55" customHeight="1" x14ac:dyDescent="0.3">
      <c r="A18" s="11">
        <v>46274.160798611112</v>
      </c>
      <c r="B18" s="12" t="s">
        <v>28</v>
      </c>
      <c r="C18" s="12">
        <v>28.6129</v>
      </c>
      <c r="D18" s="12">
        <v>77.229500000000002</v>
      </c>
      <c r="E18" s="12" t="s">
        <v>11</v>
      </c>
      <c r="F18" s="12" t="s">
        <v>15</v>
      </c>
      <c r="G18" s="12">
        <v>39</v>
      </c>
      <c r="H18" s="12">
        <v>7.69</v>
      </c>
      <c r="I18" s="12" t="s">
        <v>16</v>
      </c>
      <c r="J18" s="12" t="s">
        <v>32</v>
      </c>
    </row>
    <row r="19" spans="1:10" ht="20.55" customHeight="1" x14ac:dyDescent="0.3">
      <c r="A19" s="11">
        <v>46288.150752314818</v>
      </c>
      <c r="B19" s="12" t="s">
        <v>23</v>
      </c>
      <c r="C19" s="12">
        <v>28.567599999999999</v>
      </c>
      <c r="D19" s="12">
        <v>77.209599999999995</v>
      </c>
      <c r="E19" s="12" t="s">
        <v>11</v>
      </c>
      <c r="F19" s="12" t="s">
        <v>12</v>
      </c>
      <c r="G19" s="12">
        <v>27</v>
      </c>
      <c r="H19" s="12">
        <v>11.11</v>
      </c>
      <c r="I19" s="12" t="s">
        <v>16</v>
      </c>
      <c r="J19" s="12" t="s">
        <v>14</v>
      </c>
    </row>
    <row r="20" spans="1:10" ht="20.55" customHeight="1" x14ac:dyDescent="0.3">
      <c r="A20" s="11">
        <v>46277.949745370373</v>
      </c>
      <c r="B20" s="12" t="s">
        <v>28</v>
      </c>
      <c r="C20" s="12">
        <v>28.6129</v>
      </c>
      <c r="D20" s="12">
        <v>77.229500000000002</v>
      </c>
      <c r="E20" s="12" t="s">
        <v>11</v>
      </c>
      <c r="F20" s="12" t="s">
        <v>27</v>
      </c>
      <c r="G20" s="12">
        <v>13</v>
      </c>
      <c r="H20" s="12">
        <v>23.08</v>
      </c>
      <c r="I20" s="12" t="s">
        <v>24</v>
      </c>
      <c r="J20" s="12" t="s">
        <v>14</v>
      </c>
    </row>
    <row r="21" spans="1:10" ht="20.55" customHeight="1" x14ac:dyDescent="0.3">
      <c r="A21" s="11">
        <v>46275.909548611111</v>
      </c>
      <c r="B21" s="12" t="s">
        <v>31</v>
      </c>
      <c r="C21" s="12">
        <v>28.6328</v>
      </c>
      <c r="D21" s="12">
        <v>77.219499999999996</v>
      </c>
      <c r="E21" s="12" t="s">
        <v>11</v>
      </c>
      <c r="F21" s="12" t="s">
        <v>12</v>
      </c>
      <c r="G21" s="12">
        <v>36</v>
      </c>
      <c r="H21" s="12">
        <v>8.33</v>
      </c>
      <c r="I21" s="12" t="s">
        <v>16</v>
      </c>
      <c r="J21" s="12" t="s">
        <v>14</v>
      </c>
    </row>
    <row r="22" spans="1:10" ht="20.55" customHeight="1" x14ac:dyDescent="0.3">
      <c r="A22" s="11">
        <v>46284.070347222223</v>
      </c>
      <c r="B22" s="12" t="s">
        <v>23</v>
      </c>
      <c r="C22" s="12">
        <v>28.567599999999999</v>
      </c>
      <c r="D22" s="12">
        <v>77.209599999999995</v>
      </c>
      <c r="E22" s="12" t="s">
        <v>11</v>
      </c>
      <c r="F22" s="12" t="s">
        <v>27</v>
      </c>
      <c r="G22" s="12">
        <v>15</v>
      </c>
      <c r="H22" s="12">
        <v>20</v>
      </c>
      <c r="I22" s="12" t="s">
        <v>13</v>
      </c>
      <c r="J22" s="12" t="s">
        <v>14</v>
      </c>
    </row>
    <row r="23" spans="1:10" ht="20.55" customHeight="1" x14ac:dyDescent="0.3">
      <c r="A23" s="11">
        <v>46268.331655092603</v>
      </c>
      <c r="B23" s="12" t="s">
        <v>10</v>
      </c>
      <c r="C23" s="12">
        <v>28.545300000000001</v>
      </c>
      <c r="D23" s="12">
        <v>77.192499999999995</v>
      </c>
      <c r="E23" s="12" t="s">
        <v>11</v>
      </c>
      <c r="F23" s="12" t="s">
        <v>15</v>
      </c>
      <c r="G23" s="12">
        <v>13</v>
      </c>
      <c r="H23" s="12">
        <v>23.08</v>
      </c>
      <c r="I23" s="12" t="s">
        <v>24</v>
      </c>
      <c r="J23" s="12" t="s">
        <v>14</v>
      </c>
    </row>
    <row r="24" spans="1:10" ht="20.55" customHeight="1" x14ac:dyDescent="0.3">
      <c r="A24" s="11">
        <v>46287.567835648151</v>
      </c>
      <c r="B24" s="12" t="s">
        <v>20</v>
      </c>
      <c r="C24" s="12">
        <v>28.571400000000001</v>
      </c>
      <c r="D24" s="12">
        <v>77.281300000000002</v>
      </c>
      <c r="E24" s="12" t="s">
        <v>19</v>
      </c>
      <c r="F24" s="12" t="s">
        <v>27</v>
      </c>
      <c r="G24" s="12">
        <v>69</v>
      </c>
      <c r="H24" s="12">
        <v>4.3499999999999996</v>
      </c>
      <c r="I24" s="12" t="s">
        <v>16</v>
      </c>
      <c r="J24" s="12" t="s">
        <v>14</v>
      </c>
    </row>
    <row r="25" spans="1:10" ht="20.55" customHeight="1" x14ac:dyDescent="0.3">
      <c r="A25" s="11">
        <v>46279.552766203713</v>
      </c>
      <c r="B25" s="12" t="s">
        <v>28</v>
      </c>
      <c r="C25" s="12">
        <v>28.6129</v>
      </c>
      <c r="D25" s="12">
        <v>77.229500000000002</v>
      </c>
      <c r="E25" s="12" t="s">
        <v>11</v>
      </c>
      <c r="F25" s="12" t="s">
        <v>22</v>
      </c>
      <c r="G25" s="12">
        <v>35</v>
      </c>
      <c r="H25" s="12">
        <v>8.57</v>
      </c>
      <c r="I25" s="12" t="s">
        <v>16</v>
      </c>
      <c r="J25" s="12" t="s">
        <v>14</v>
      </c>
    </row>
    <row r="26" spans="1:10" ht="20.55" customHeight="1" x14ac:dyDescent="0.3">
      <c r="A26" s="11">
        <v>46275.472361111111</v>
      </c>
      <c r="B26" s="12" t="s">
        <v>31</v>
      </c>
      <c r="C26" s="12">
        <v>28.6328</v>
      </c>
      <c r="D26" s="12">
        <v>77.219499999999996</v>
      </c>
      <c r="E26" s="12" t="s">
        <v>11</v>
      </c>
      <c r="F26" s="12" t="s">
        <v>15</v>
      </c>
      <c r="G26" s="12">
        <v>36</v>
      </c>
      <c r="H26" s="12">
        <v>8.33</v>
      </c>
      <c r="I26" s="12" t="s">
        <v>29</v>
      </c>
      <c r="J26" s="12" t="s">
        <v>14</v>
      </c>
    </row>
    <row r="27" spans="1:10" ht="20.55" customHeight="1" x14ac:dyDescent="0.3">
      <c r="A27" s="11">
        <v>46274.743715277778</v>
      </c>
      <c r="B27" s="12" t="s">
        <v>31</v>
      </c>
      <c r="C27" s="12">
        <v>28.6328</v>
      </c>
      <c r="D27" s="12">
        <v>77.219499999999996</v>
      </c>
      <c r="E27" s="12" t="s">
        <v>11</v>
      </c>
      <c r="F27" s="12" t="s">
        <v>27</v>
      </c>
      <c r="G27" s="12">
        <v>30</v>
      </c>
      <c r="H27" s="12">
        <v>10</v>
      </c>
      <c r="I27" s="12" t="s">
        <v>29</v>
      </c>
      <c r="J27" s="12" t="s">
        <v>30</v>
      </c>
    </row>
    <row r="28" spans="1:10" ht="20.55" customHeight="1" x14ac:dyDescent="0.3">
      <c r="A28" s="11">
        <v>46278.241203703707</v>
      </c>
      <c r="B28" s="12" t="s">
        <v>28</v>
      </c>
      <c r="C28" s="12">
        <v>28.6129</v>
      </c>
      <c r="D28" s="12">
        <v>77.229500000000002</v>
      </c>
      <c r="E28" s="12" t="s">
        <v>11</v>
      </c>
      <c r="F28" s="12" t="s">
        <v>22</v>
      </c>
      <c r="G28" s="12">
        <v>15</v>
      </c>
      <c r="H28" s="12">
        <v>20</v>
      </c>
      <c r="I28" s="12" t="s">
        <v>13</v>
      </c>
      <c r="J28" s="12" t="s">
        <v>14</v>
      </c>
    </row>
    <row r="29" spans="1:10" ht="20.55" customHeight="1" x14ac:dyDescent="0.3">
      <c r="A29" s="11">
        <v>46275.763819444437</v>
      </c>
      <c r="B29" s="12" t="s">
        <v>20</v>
      </c>
      <c r="C29" s="12">
        <v>28.571400000000001</v>
      </c>
      <c r="D29" s="12">
        <v>77.281300000000002</v>
      </c>
      <c r="E29" s="12" t="s">
        <v>19</v>
      </c>
      <c r="F29" s="12" t="s">
        <v>27</v>
      </c>
      <c r="G29" s="12">
        <v>40</v>
      </c>
      <c r="H29" s="12">
        <v>7.5</v>
      </c>
      <c r="I29" s="12" t="s">
        <v>16</v>
      </c>
      <c r="J29" s="12" t="s">
        <v>14</v>
      </c>
    </row>
    <row r="30" spans="1:10" ht="20.55" customHeight="1" x14ac:dyDescent="0.3">
      <c r="A30" s="11">
        <v>46284.21607638889</v>
      </c>
      <c r="B30" s="12" t="s">
        <v>18</v>
      </c>
      <c r="C30" s="12">
        <v>28.5562</v>
      </c>
      <c r="D30" s="12">
        <v>77.099999999999994</v>
      </c>
      <c r="E30" s="12" t="s">
        <v>19</v>
      </c>
      <c r="F30" s="12" t="s">
        <v>21</v>
      </c>
      <c r="G30" s="12">
        <v>44</v>
      </c>
      <c r="H30" s="12">
        <v>6.82</v>
      </c>
      <c r="I30" s="12" t="s">
        <v>16</v>
      </c>
      <c r="J30" s="12" t="s">
        <v>14</v>
      </c>
    </row>
    <row r="31" spans="1:10" ht="20.55" customHeight="1" x14ac:dyDescent="0.3">
      <c r="A31" s="11">
        <v>46285.236180555563</v>
      </c>
      <c r="B31" s="12" t="s">
        <v>10</v>
      </c>
      <c r="C31" s="12">
        <v>28.545300000000001</v>
      </c>
      <c r="D31" s="12">
        <v>77.192499999999995</v>
      </c>
      <c r="E31" s="12" t="s">
        <v>11</v>
      </c>
      <c r="F31" s="12" t="s">
        <v>15</v>
      </c>
      <c r="G31" s="12">
        <v>20</v>
      </c>
      <c r="H31" s="12">
        <v>15</v>
      </c>
      <c r="I31" s="12" t="s">
        <v>16</v>
      </c>
      <c r="J31" s="12" t="s">
        <v>14</v>
      </c>
    </row>
    <row r="32" spans="1:10" ht="20.55" customHeight="1" x14ac:dyDescent="0.3">
      <c r="A32" s="11">
        <v>46267.311562499999</v>
      </c>
      <c r="B32" s="12" t="s">
        <v>33</v>
      </c>
      <c r="C32" s="12">
        <v>28.632999999999999</v>
      </c>
      <c r="D32" s="12">
        <v>77.2196</v>
      </c>
      <c r="E32" s="12" t="s">
        <v>11</v>
      </c>
      <c r="F32" s="12" t="s">
        <v>22</v>
      </c>
      <c r="G32" s="12">
        <v>14</v>
      </c>
      <c r="H32" s="12">
        <v>21.43</v>
      </c>
      <c r="I32" s="12" t="s">
        <v>13</v>
      </c>
      <c r="J32" s="12" t="s">
        <v>14</v>
      </c>
    </row>
    <row r="33" spans="1:10" ht="20.55" customHeight="1" x14ac:dyDescent="0.3">
      <c r="A33" s="11">
        <v>46268.623113425929</v>
      </c>
      <c r="B33" s="12" t="s">
        <v>20</v>
      </c>
      <c r="C33" s="12">
        <v>28.571400000000001</v>
      </c>
      <c r="D33" s="12">
        <v>77.281300000000002</v>
      </c>
      <c r="E33" s="12" t="s">
        <v>19</v>
      </c>
      <c r="F33" s="12" t="s">
        <v>15</v>
      </c>
      <c r="G33" s="12">
        <v>87</v>
      </c>
      <c r="H33" s="12">
        <v>3.45</v>
      </c>
      <c r="I33" s="12" t="s">
        <v>29</v>
      </c>
      <c r="J33" s="12" t="s">
        <v>14</v>
      </c>
    </row>
    <row r="34" spans="1:10" ht="20.55" customHeight="1" x14ac:dyDescent="0.3">
      <c r="A34" s="11">
        <v>46274.015081018522</v>
      </c>
      <c r="B34" s="12" t="s">
        <v>28</v>
      </c>
      <c r="C34" s="12">
        <v>28.6129</v>
      </c>
      <c r="D34" s="12">
        <v>77.229500000000002</v>
      </c>
      <c r="E34" s="12" t="s">
        <v>11</v>
      </c>
      <c r="F34" s="12" t="s">
        <v>21</v>
      </c>
      <c r="G34" s="12">
        <v>35</v>
      </c>
      <c r="H34" s="12">
        <v>8.57</v>
      </c>
      <c r="I34" s="12" t="s">
        <v>29</v>
      </c>
      <c r="J34" s="12" t="s">
        <v>14</v>
      </c>
    </row>
    <row r="35" spans="1:10" ht="20.55" customHeight="1" x14ac:dyDescent="0.3">
      <c r="A35" s="11">
        <v>46276.929652777777</v>
      </c>
      <c r="B35" s="12" t="s">
        <v>31</v>
      </c>
      <c r="C35" s="12">
        <v>28.6328</v>
      </c>
      <c r="D35" s="12">
        <v>77.219499999999996</v>
      </c>
      <c r="E35" s="12" t="s">
        <v>11</v>
      </c>
      <c r="F35" s="12" t="s">
        <v>15</v>
      </c>
      <c r="G35" s="12">
        <v>25</v>
      </c>
      <c r="H35" s="12">
        <v>12</v>
      </c>
      <c r="I35" s="12" t="s">
        <v>16</v>
      </c>
      <c r="J35" s="12" t="s">
        <v>14</v>
      </c>
    </row>
    <row r="36" spans="1:10" ht="20.55" customHeight="1" x14ac:dyDescent="0.3">
      <c r="A36" s="11">
        <v>46287.859293981477</v>
      </c>
      <c r="B36" s="12" t="s">
        <v>28</v>
      </c>
      <c r="C36" s="12">
        <v>28.6129</v>
      </c>
      <c r="D36" s="12">
        <v>77.229500000000002</v>
      </c>
      <c r="E36" s="12" t="s">
        <v>11</v>
      </c>
      <c r="F36" s="12" t="s">
        <v>22</v>
      </c>
      <c r="G36" s="12">
        <v>25</v>
      </c>
      <c r="H36" s="12">
        <v>12</v>
      </c>
      <c r="I36" s="12" t="s">
        <v>16</v>
      </c>
      <c r="J36" s="12" t="s">
        <v>14</v>
      </c>
    </row>
    <row r="37" spans="1:10" ht="20.55" customHeight="1" x14ac:dyDescent="0.3">
      <c r="A37" s="11">
        <v>46281.155775462961</v>
      </c>
      <c r="B37" s="12" t="s">
        <v>20</v>
      </c>
      <c r="C37" s="12">
        <v>28.571400000000001</v>
      </c>
      <c r="D37" s="12">
        <v>77.281300000000002</v>
      </c>
      <c r="E37" s="12" t="s">
        <v>19</v>
      </c>
      <c r="F37" s="12" t="s">
        <v>22</v>
      </c>
      <c r="G37" s="12">
        <v>28</v>
      </c>
      <c r="H37" s="12">
        <v>10.71</v>
      </c>
      <c r="I37" s="12" t="s">
        <v>24</v>
      </c>
      <c r="J37" s="12" t="s">
        <v>14</v>
      </c>
    </row>
    <row r="38" spans="1:10" ht="20.55" customHeight="1" x14ac:dyDescent="0.3">
      <c r="A38" s="11">
        <v>46285.673368055563</v>
      </c>
      <c r="B38" s="12" t="s">
        <v>10</v>
      </c>
      <c r="C38" s="12">
        <v>28.545300000000001</v>
      </c>
      <c r="D38" s="12">
        <v>77.192499999999995</v>
      </c>
      <c r="E38" s="12" t="s">
        <v>11</v>
      </c>
      <c r="F38" s="12" t="s">
        <v>15</v>
      </c>
      <c r="G38" s="12">
        <v>28</v>
      </c>
      <c r="H38" s="12">
        <v>10.71</v>
      </c>
      <c r="I38" s="12" t="s">
        <v>16</v>
      </c>
      <c r="J38" s="12" t="s">
        <v>14</v>
      </c>
    </row>
    <row r="39" spans="1:10" ht="20.55" customHeight="1" x14ac:dyDescent="0.3">
      <c r="A39" s="11">
        <v>46285.964826388888</v>
      </c>
      <c r="B39" s="12" t="s">
        <v>33</v>
      </c>
      <c r="C39" s="12">
        <v>28.632999999999999</v>
      </c>
      <c r="D39" s="12">
        <v>77.2196</v>
      </c>
      <c r="E39" s="12" t="s">
        <v>11</v>
      </c>
      <c r="F39" s="12" t="s">
        <v>27</v>
      </c>
      <c r="G39" s="12">
        <v>44</v>
      </c>
      <c r="H39" s="12">
        <v>6.82</v>
      </c>
      <c r="I39" s="12" t="s">
        <v>29</v>
      </c>
      <c r="J39" s="12" t="s">
        <v>14</v>
      </c>
    </row>
    <row r="40" spans="1:10" ht="20.55" customHeight="1" x14ac:dyDescent="0.3">
      <c r="A40" s="11">
        <v>46289.899502314824</v>
      </c>
      <c r="B40" s="12" t="s">
        <v>33</v>
      </c>
      <c r="C40" s="12">
        <v>28.632999999999999</v>
      </c>
      <c r="D40" s="12">
        <v>77.2196</v>
      </c>
      <c r="E40" s="12" t="s">
        <v>11</v>
      </c>
      <c r="F40" s="12" t="s">
        <v>27</v>
      </c>
      <c r="G40" s="12">
        <v>25</v>
      </c>
      <c r="H40" s="12">
        <v>12</v>
      </c>
      <c r="I40" s="12" t="s">
        <v>24</v>
      </c>
      <c r="J40" s="12" t="s">
        <v>32</v>
      </c>
    </row>
    <row r="41" spans="1:10" ht="20.55" customHeight="1" x14ac:dyDescent="0.3">
      <c r="A41" s="11">
        <v>46277.075381944444</v>
      </c>
      <c r="B41" s="12" t="s">
        <v>31</v>
      </c>
      <c r="C41" s="12">
        <v>28.6328</v>
      </c>
      <c r="D41" s="12">
        <v>77.219499999999996</v>
      </c>
      <c r="E41" s="12" t="s">
        <v>11</v>
      </c>
      <c r="F41" s="12" t="s">
        <v>12</v>
      </c>
      <c r="G41" s="12">
        <v>33</v>
      </c>
      <c r="H41" s="12">
        <v>9.09</v>
      </c>
      <c r="I41" s="12" t="s">
        <v>16</v>
      </c>
      <c r="J41" s="12" t="s">
        <v>14</v>
      </c>
    </row>
    <row r="42" spans="1:10" ht="20.55" customHeight="1" x14ac:dyDescent="0.3">
      <c r="A42" s="11">
        <v>46277.512557870366</v>
      </c>
      <c r="B42" s="12" t="s">
        <v>23</v>
      </c>
      <c r="C42" s="12">
        <v>28.567599999999999</v>
      </c>
      <c r="D42" s="12">
        <v>77.209599999999995</v>
      </c>
      <c r="E42" s="12" t="s">
        <v>11</v>
      </c>
      <c r="F42" s="12" t="s">
        <v>21</v>
      </c>
      <c r="G42" s="12">
        <v>26</v>
      </c>
      <c r="H42" s="12">
        <v>11.54</v>
      </c>
      <c r="I42" s="12" t="s">
        <v>16</v>
      </c>
      <c r="J42" s="12" t="s">
        <v>32</v>
      </c>
    </row>
    <row r="43" spans="1:10" ht="20.55" customHeight="1" x14ac:dyDescent="0.3">
      <c r="A43" s="11">
        <v>46294.708541666667</v>
      </c>
      <c r="B43" s="12" t="s">
        <v>28</v>
      </c>
      <c r="C43" s="12">
        <v>28.6129</v>
      </c>
      <c r="D43" s="12">
        <v>77.229500000000002</v>
      </c>
      <c r="E43" s="12" t="s">
        <v>11</v>
      </c>
      <c r="F43" s="12" t="s">
        <v>21</v>
      </c>
      <c r="G43" s="12">
        <v>11</v>
      </c>
      <c r="H43" s="12">
        <v>27.27</v>
      </c>
      <c r="I43" s="12" t="s">
        <v>24</v>
      </c>
      <c r="J43" s="12" t="s">
        <v>14</v>
      </c>
    </row>
    <row r="44" spans="1:10" ht="20.55" customHeight="1" x14ac:dyDescent="0.3">
      <c r="A44" s="11">
        <v>46271.537685185183</v>
      </c>
      <c r="B44" s="12" t="s">
        <v>33</v>
      </c>
      <c r="C44" s="12">
        <v>28.632999999999999</v>
      </c>
      <c r="D44" s="12">
        <v>77.2196</v>
      </c>
      <c r="E44" s="12" t="s">
        <v>11</v>
      </c>
      <c r="F44" s="12" t="s">
        <v>21</v>
      </c>
      <c r="G44" s="12">
        <v>28</v>
      </c>
      <c r="H44" s="12">
        <v>10.71</v>
      </c>
      <c r="I44" s="12" t="s">
        <v>16</v>
      </c>
      <c r="J44" s="12" t="s">
        <v>14</v>
      </c>
    </row>
    <row r="45" spans="1:10" ht="20.55" customHeight="1" x14ac:dyDescent="0.3">
      <c r="A45" s="11">
        <v>46269.497488425928</v>
      </c>
      <c r="B45" s="12" t="s">
        <v>20</v>
      </c>
      <c r="C45" s="12">
        <v>28.571400000000001</v>
      </c>
      <c r="D45" s="12">
        <v>77.281300000000002</v>
      </c>
      <c r="E45" s="12" t="s">
        <v>19</v>
      </c>
      <c r="F45" s="12" t="s">
        <v>27</v>
      </c>
      <c r="G45" s="12">
        <v>75</v>
      </c>
      <c r="H45" s="12">
        <v>4</v>
      </c>
      <c r="I45" s="12" t="s">
        <v>29</v>
      </c>
      <c r="J45" s="12" t="s">
        <v>14</v>
      </c>
    </row>
    <row r="46" spans="1:10" ht="20.55" customHeight="1" x14ac:dyDescent="0.3">
      <c r="A46" s="11">
        <v>46283.77888888889</v>
      </c>
      <c r="B46" s="12" t="s">
        <v>33</v>
      </c>
      <c r="C46" s="12">
        <v>28.632999999999999</v>
      </c>
      <c r="D46" s="12">
        <v>77.2196</v>
      </c>
      <c r="E46" s="12" t="s">
        <v>11</v>
      </c>
      <c r="F46" s="12" t="s">
        <v>12</v>
      </c>
      <c r="G46" s="12">
        <v>23</v>
      </c>
      <c r="H46" s="12">
        <v>13.04</v>
      </c>
      <c r="I46" s="12" t="s">
        <v>16</v>
      </c>
      <c r="J46" s="12" t="s">
        <v>14</v>
      </c>
    </row>
    <row r="47" spans="1:10" ht="20.55" customHeight="1" x14ac:dyDescent="0.3">
      <c r="A47" s="11">
        <v>46294.417083333326</v>
      </c>
      <c r="B47" s="12" t="s">
        <v>25</v>
      </c>
      <c r="C47" s="12">
        <v>28.656199999999998</v>
      </c>
      <c r="D47" s="12">
        <v>77.231499999999997</v>
      </c>
      <c r="E47" s="12" t="s">
        <v>26</v>
      </c>
      <c r="F47" s="12" t="s">
        <v>12</v>
      </c>
      <c r="G47" s="12">
        <v>27</v>
      </c>
      <c r="H47" s="12">
        <v>11.11</v>
      </c>
      <c r="I47" s="12" t="s">
        <v>29</v>
      </c>
      <c r="J47" s="12" t="s">
        <v>14</v>
      </c>
    </row>
    <row r="48" spans="1:10" ht="20.55" customHeight="1" x14ac:dyDescent="0.3">
      <c r="A48" s="11">
        <v>46270.226134259261</v>
      </c>
      <c r="B48" s="12" t="s">
        <v>33</v>
      </c>
      <c r="C48" s="12">
        <v>28.632999999999999</v>
      </c>
      <c r="D48" s="12">
        <v>77.2196</v>
      </c>
      <c r="E48" s="12" t="s">
        <v>11</v>
      </c>
      <c r="F48" s="12" t="s">
        <v>12</v>
      </c>
      <c r="G48" s="12">
        <v>37</v>
      </c>
      <c r="H48" s="12">
        <v>8.11</v>
      </c>
      <c r="I48" s="12" t="s">
        <v>16</v>
      </c>
      <c r="J48" s="12" t="s">
        <v>14</v>
      </c>
    </row>
    <row r="49" spans="1:10" ht="20.55" customHeight="1" x14ac:dyDescent="0.3">
      <c r="A49" s="11">
        <v>46268.768842592603</v>
      </c>
      <c r="B49" s="12" t="s">
        <v>28</v>
      </c>
      <c r="C49" s="12">
        <v>28.6129</v>
      </c>
      <c r="D49" s="12">
        <v>77.229500000000002</v>
      </c>
      <c r="E49" s="12" t="s">
        <v>11</v>
      </c>
      <c r="F49" s="12" t="s">
        <v>21</v>
      </c>
      <c r="G49" s="12">
        <v>20</v>
      </c>
      <c r="H49" s="12">
        <v>15</v>
      </c>
      <c r="I49" s="12" t="s">
        <v>24</v>
      </c>
      <c r="J49" s="12" t="s">
        <v>14</v>
      </c>
    </row>
    <row r="50" spans="1:10" ht="20.55" customHeight="1" x14ac:dyDescent="0.3">
      <c r="A50" s="11">
        <v>46286.839201388888</v>
      </c>
      <c r="B50" s="12" t="s">
        <v>10</v>
      </c>
      <c r="C50" s="12">
        <v>28.545300000000001</v>
      </c>
      <c r="D50" s="12">
        <v>77.192499999999995</v>
      </c>
      <c r="E50" s="12" t="s">
        <v>11</v>
      </c>
      <c r="F50" s="12" t="s">
        <v>27</v>
      </c>
      <c r="G50" s="12">
        <v>38</v>
      </c>
      <c r="H50" s="12">
        <v>7.89</v>
      </c>
      <c r="I50" s="12" t="s">
        <v>16</v>
      </c>
      <c r="J50" s="12" t="s">
        <v>14</v>
      </c>
    </row>
    <row r="51" spans="1:10" ht="20.55" customHeight="1" x14ac:dyDescent="0.3">
      <c r="A51" s="11">
        <v>46278.53266203704</v>
      </c>
      <c r="B51" s="12" t="s">
        <v>18</v>
      </c>
      <c r="C51" s="12">
        <v>28.5562</v>
      </c>
      <c r="D51" s="12">
        <v>77.099999999999994</v>
      </c>
      <c r="E51" s="12" t="s">
        <v>19</v>
      </c>
      <c r="F51" s="12" t="s">
        <v>15</v>
      </c>
      <c r="G51" s="12">
        <v>7</v>
      </c>
      <c r="H51" s="12">
        <v>42.86</v>
      </c>
      <c r="I51" s="12" t="s">
        <v>13</v>
      </c>
      <c r="J51" s="12" t="s">
        <v>14</v>
      </c>
    </row>
    <row r="52" spans="1:10" ht="20.55" customHeight="1" x14ac:dyDescent="0.3">
      <c r="A52" s="11">
        <v>46282.613067129627</v>
      </c>
      <c r="B52" s="12" t="s">
        <v>31</v>
      </c>
      <c r="C52" s="12">
        <v>28.6328</v>
      </c>
      <c r="D52" s="12">
        <v>77.219499999999996</v>
      </c>
      <c r="E52" s="12" t="s">
        <v>11</v>
      </c>
      <c r="F52" s="12" t="s">
        <v>21</v>
      </c>
      <c r="G52" s="12">
        <v>21</v>
      </c>
      <c r="H52" s="12">
        <v>14.29</v>
      </c>
      <c r="I52" s="12" t="s">
        <v>16</v>
      </c>
      <c r="J52" s="12" t="s">
        <v>14</v>
      </c>
    </row>
    <row r="53" spans="1:10" ht="20.55" customHeight="1" x14ac:dyDescent="0.3">
      <c r="A53" s="11">
        <v>46291.211053240739</v>
      </c>
      <c r="B53" s="12" t="s">
        <v>31</v>
      </c>
      <c r="C53" s="12">
        <v>28.6328</v>
      </c>
      <c r="D53" s="12">
        <v>77.219499999999996</v>
      </c>
      <c r="E53" s="12" t="s">
        <v>11</v>
      </c>
      <c r="F53" s="12" t="s">
        <v>21</v>
      </c>
      <c r="G53" s="12">
        <v>12</v>
      </c>
      <c r="H53" s="12">
        <v>25</v>
      </c>
      <c r="I53" s="12" t="s">
        <v>13</v>
      </c>
      <c r="J53" s="12" t="s">
        <v>14</v>
      </c>
    </row>
    <row r="54" spans="1:10" ht="20.55" customHeight="1" x14ac:dyDescent="0.3">
      <c r="A54" s="11">
        <v>46266.728645833333</v>
      </c>
      <c r="B54" s="12" t="s">
        <v>28</v>
      </c>
      <c r="C54" s="12">
        <v>28.6129</v>
      </c>
      <c r="D54" s="12">
        <v>77.229500000000002</v>
      </c>
      <c r="E54" s="12" t="s">
        <v>11</v>
      </c>
      <c r="F54" s="12" t="s">
        <v>22</v>
      </c>
      <c r="G54" s="12">
        <v>8</v>
      </c>
      <c r="H54" s="12">
        <v>37.5</v>
      </c>
      <c r="I54" s="12" t="s">
        <v>13</v>
      </c>
      <c r="J54" s="12" t="s">
        <v>14</v>
      </c>
    </row>
    <row r="55" spans="1:10" ht="20.55" customHeight="1" x14ac:dyDescent="0.3">
      <c r="A55" s="11">
        <v>46284.361805555563</v>
      </c>
      <c r="B55" s="12" t="s">
        <v>20</v>
      </c>
      <c r="C55" s="12">
        <v>28.571400000000001</v>
      </c>
      <c r="D55" s="12">
        <v>77.281300000000002</v>
      </c>
      <c r="E55" s="12" t="s">
        <v>19</v>
      </c>
      <c r="F55" s="12" t="s">
        <v>12</v>
      </c>
      <c r="G55" s="12">
        <v>69</v>
      </c>
      <c r="H55" s="12">
        <v>4.3499999999999996</v>
      </c>
      <c r="I55" s="12" t="s">
        <v>16</v>
      </c>
      <c r="J55" s="12" t="s">
        <v>32</v>
      </c>
    </row>
    <row r="56" spans="1:10" ht="20.55" customHeight="1" x14ac:dyDescent="0.3">
      <c r="A56" s="11">
        <v>46283.050254629627</v>
      </c>
      <c r="B56" s="12" t="s">
        <v>10</v>
      </c>
      <c r="C56" s="12">
        <v>28.545300000000001</v>
      </c>
      <c r="D56" s="12">
        <v>77.192499999999995</v>
      </c>
      <c r="E56" s="12" t="s">
        <v>11</v>
      </c>
      <c r="F56" s="12" t="s">
        <v>27</v>
      </c>
      <c r="G56" s="12">
        <v>38</v>
      </c>
      <c r="H56" s="12">
        <v>7.89</v>
      </c>
      <c r="I56" s="12" t="s">
        <v>16</v>
      </c>
      <c r="J56" s="12" t="s">
        <v>32</v>
      </c>
    </row>
    <row r="57" spans="1:10" ht="20.55" customHeight="1" x14ac:dyDescent="0.3">
      <c r="A57" s="11">
        <v>46276.638194444437</v>
      </c>
      <c r="B57" s="12" t="s">
        <v>10</v>
      </c>
      <c r="C57" s="12">
        <v>28.545300000000001</v>
      </c>
      <c r="D57" s="12">
        <v>77.192499999999995</v>
      </c>
      <c r="E57" s="12" t="s">
        <v>11</v>
      </c>
      <c r="F57" s="12" t="s">
        <v>22</v>
      </c>
      <c r="G57" s="12">
        <v>40</v>
      </c>
      <c r="H57" s="12">
        <v>7.5</v>
      </c>
      <c r="I57" s="12" t="s">
        <v>16</v>
      </c>
      <c r="J57" s="12" t="s">
        <v>14</v>
      </c>
    </row>
    <row r="58" spans="1:10" ht="20.55" customHeight="1" x14ac:dyDescent="0.3">
      <c r="A58" s="11">
        <v>46286.402013888888</v>
      </c>
      <c r="B58" s="12" t="s">
        <v>10</v>
      </c>
      <c r="C58" s="12">
        <v>28.545300000000001</v>
      </c>
      <c r="D58" s="12">
        <v>77.192499999999995</v>
      </c>
      <c r="E58" s="12" t="s">
        <v>11</v>
      </c>
      <c r="F58" s="12" t="s">
        <v>22</v>
      </c>
      <c r="G58" s="12">
        <v>11</v>
      </c>
      <c r="H58" s="12">
        <v>27.27</v>
      </c>
      <c r="I58" s="12" t="s">
        <v>13</v>
      </c>
      <c r="J58" s="12" t="s">
        <v>30</v>
      </c>
    </row>
    <row r="59" spans="1:10" ht="20.55" customHeight="1" x14ac:dyDescent="0.3">
      <c r="A59" s="11">
        <v>46280.281412037039</v>
      </c>
      <c r="B59" s="12" t="s">
        <v>10</v>
      </c>
      <c r="C59" s="12">
        <v>28.545300000000001</v>
      </c>
      <c r="D59" s="12">
        <v>77.192499999999995</v>
      </c>
      <c r="E59" s="12" t="s">
        <v>11</v>
      </c>
      <c r="F59" s="12" t="s">
        <v>22</v>
      </c>
      <c r="G59" s="12">
        <v>37</v>
      </c>
      <c r="H59" s="12">
        <v>8.11</v>
      </c>
      <c r="I59" s="12" t="s">
        <v>29</v>
      </c>
      <c r="J59" s="12" t="s">
        <v>32</v>
      </c>
    </row>
    <row r="60" spans="1:10" ht="20.55" customHeight="1" x14ac:dyDescent="0.3">
      <c r="A60" s="11">
        <v>46291.065324074072</v>
      </c>
      <c r="B60" s="12" t="s">
        <v>31</v>
      </c>
      <c r="C60" s="12">
        <v>28.6328</v>
      </c>
      <c r="D60" s="12">
        <v>77.219499999999996</v>
      </c>
      <c r="E60" s="12" t="s">
        <v>11</v>
      </c>
      <c r="F60" s="12" t="s">
        <v>21</v>
      </c>
      <c r="G60" s="12">
        <v>18</v>
      </c>
      <c r="H60" s="12">
        <v>16.670000000000002</v>
      </c>
      <c r="I60" s="12" t="s">
        <v>24</v>
      </c>
      <c r="J60" s="12" t="s">
        <v>14</v>
      </c>
    </row>
    <row r="61" spans="1:10" ht="20.55" customHeight="1" x14ac:dyDescent="0.3">
      <c r="A61" s="11">
        <v>46279.989953703713</v>
      </c>
      <c r="B61" s="12" t="s">
        <v>28</v>
      </c>
      <c r="C61" s="12">
        <v>28.6129</v>
      </c>
      <c r="D61" s="12">
        <v>77.229500000000002</v>
      </c>
      <c r="E61" s="12" t="s">
        <v>11</v>
      </c>
      <c r="F61" s="12" t="s">
        <v>27</v>
      </c>
      <c r="G61" s="12">
        <v>20</v>
      </c>
      <c r="H61" s="12">
        <v>15</v>
      </c>
      <c r="I61" s="12" t="s">
        <v>16</v>
      </c>
      <c r="J61" s="12" t="s">
        <v>14</v>
      </c>
    </row>
    <row r="62" spans="1:10" ht="20.55" customHeight="1" x14ac:dyDescent="0.3">
      <c r="A62" s="11">
        <v>46290.628136574072</v>
      </c>
      <c r="B62" s="12" t="s">
        <v>23</v>
      </c>
      <c r="C62" s="12">
        <v>28.567599999999999</v>
      </c>
      <c r="D62" s="12">
        <v>77.209599999999995</v>
      </c>
      <c r="E62" s="12" t="s">
        <v>11</v>
      </c>
      <c r="F62" s="12" t="s">
        <v>21</v>
      </c>
      <c r="G62" s="12">
        <v>20</v>
      </c>
      <c r="H62" s="12">
        <v>15</v>
      </c>
      <c r="I62" s="12" t="s">
        <v>24</v>
      </c>
      <c r="J62" s="12" t="s">
        <v>30</v>
      </c>
    </row>
    <row r="63" spans="1:10" ht="20.55" customHeight="1" x14ac:dyDescent="0.3">
      <c r="A63" s="11">
        <v>46280.135682870372</v>
      </c>
      <c r="B63" s="12" t="s">
        <v>23</v>
      </c>
      <c r="C63" s="12">
        <v>28.567599999999999</v>
      </c>
      <c r="D63" s="12">
        <v>77.209599999999995</v>
      </c>
      <c r="E63" s="12" t="s">
        <v>11</v>
      </c>
      <c r="F63" s="12" t="s">
        <v>12</v>
      </c>
      <c r="G63" s="12">
        <v>19</v>
      </c>
      <c r="H63" s="12">
        <v>15.79</v>
      </c>
      <c r="I63" s="12" t="s">
        <v>24</v>
      </c>
      <c r="J63" s="12" t="s">
        <v>14</v>
      </c>
    </row>
    <row r="64" spans="1:10" ht="20.55" customHeight="1" x14ac:dyDescent="0.3">
      <c r="A64" s="11">
        <v>46270.517592592587</v>
      </c>
      <c r="B64" s="12" t="s">
        <v>28</v>
      </c>
      <c r="C64" s="12">
        <v>28.6129</v>
      </c>
      <c r="D64" s="12">
        <v>77.229500000000002</v>
      </c>
      <c r="E64" s="12" t="s">
        <v>11</v>
      </c>
      <c r="F64" s="12" t="s">
        <v>27</v>
      </c>
      <c r="G64" s="12">
        <v>30</v>
      </c>
      <c r="H64" s="12">
        <v>10</v>
      </c>
      <c r="I64" s="12" t="s">
        <v>24</v>
      </c>
      <c r="J64" s="12" t="s">
        <v>14</v>
      </c>
    </row>
    <row r="65" spans="1:10" ht="20.55" customHeight="1" x14ac:dyDescent="0.3">
      <c r="A65" s="11">
        <v>46267.748738425929</v>
      </c>
      <c r="B65" s="12" t="s">
        <v>10</v>
      </c>
      <c r="C65" s="12">
        <v>28.545300000000001</v>
      </c>
      <c r="D65" s="12">
        <v>77.192499999999995</v>
      </c>
      <c r="E65" s="12" t="s">
        <v>11</v>
      </c>
      <c r="F65" s="12" t="s">
        <v>15</v>
      </c>
      <c r="G65" s="12">
        <v>27</v>
      </c>
      <c r="H65" s="12">
        <v>11.11</v>
      </c>
      <c r="I65" s="12" t="s">
        <v>24</v>
      </c>
      <c r="J65" s="12" t="s">
        <v>14</v>
      </c>
    </row>
    <row r="66" spans="1:10" ht="20.55" customHeight="1" x14ac:dyDescent="0.3">
      <c r="A66" s="11">
        <v>46271.100497685176</v>
      </c>
      <c r="B66" s="12" t="s">
        <v>28</v>
      </c>
      <c r="C66" s="12">
        <v>28.6129</v>
      </c>
      <c r="D66" s="12">
        <v>77.229500000000002</v>
      </c>
      <c r="E66" s="12" t="s">
        <v>11</v>
      </c>
      <c r="F66" s="12" t="s">
        <v>21</v>
      </c>
      <c r="G66" s="12">
        <v>37</v>
      </c>
      <c r="H66" s="12">
        <v>8.11</v>
      </c>
      <c r="I66" s="12" t="s">
        <v>29</v>
      </c>
      <c r="J66" s="12" t="s">
        <v>14</v>
      </c>
    </row>
    <row r="67" spans="1:10" ht="20.55" customHeight="1" x14ac:dyDescent="0.3">
      <c r="A67" s="11">
        <v>46283.34171296296</v>
      </c>
      <c r="B67" s="12" t="s">
        <v>23</v>
      </c>
      <c r="C67" s="12">
        <v>28.567599999999999</v>
      </c>
      <c r="D67" s="12">
        <v>77.209599999999995</v>
      </c>
      <c r="E67" s="12" t="s">
        <v>11</v>
      </c>
      <c r="F67" s="12" t="s">
        <v>15</v>
      </c>
      <c r="G67" s="12">
        <v>29</v>
      </c>
      <c r="H67" s="12">
        <v>10.34</v>
      </c>
      <c r="I67" s="12" t="s">
        <v>16</v>
      </c>
      <c r="J67" s="12" t="s">
        <v>14</v>
      </c>
    </row>
    <row r="68" spans="1:10" ht="20.55" customHeight="1" x14ac:dyDescent="0.3">
      <c r="A68" s="11">
        <v>46272.12060185185</v>
      </c>
      <c r="B68" s="12" t="s">
        <v>10</v>
      </c>
      <c r="C68" s="12">
        <v>28.545300000000001</v>
      </c>
      <c r="D68" s="12">
        <v>77.192499999999995</v>
      </c>
      <c r="E68" s="12" t="s">
        <v>11</v>
      </c>
      <c r="F68" s="12" t="s">
        <v>27</v>
      </c>
      <c r="G68" s="12">
        <v>26</v>
      </c>
      <c r="H68" s="12">
        <v>11.54</v>
      </c>
      <c r="I68" s="12" t="s">
        <v>24</v>
      </c>
      <c r="J68" s="12" t="s">
        <v>14</v>
      </c>
    </row>
    <row r="69" spans="1:10" ht="20.55" customHeight="1" x14ac:dyDescent="0.3">
      <c r="A69" s="11">
        <v>46293.542708333327</v>
      </c>
      <c r="B69" s="12" t="s">
        <v>18</v>
      </c>
      <c r="C69" s="12">
        <v>28.5562</v>
      </c>
      <c r="D69" s="12">
        <v>77.099999999999994</v>
      </c>
      <c r="E69" s="12" t="s">
        <v>19</v>
      </c>
      <c r="F69" s="12" t="s">
        <v>22</v>
      </c>
      <c r="G69" s="12">
        <v>62</v>
      </c>
      <c r="H69" s="12">
        <v>4.84</v>
      </c>
      <c r="I69" s="12" t="s">
        <v>16</v>
      </c>
      <c r="J69" s="12" t="s">
        <v>14</v>
      </c>
    </row>
    <row r="70" spans="1:10" ht="20.55" customHeight="1" x14ac:dyDescent="0.3">
      <c r="A70" s="11">
        <v>46279.115578703713</v>
      </c>
      <c r="B70" s="12" t="s">
        <v>28</v>
      </c>
      <c r="C70" s="12">
        <v>28.6129</v>
      </c>
      <c r="D70" s="12">
        <v>77.229500000000002</v>
      </c>
      <c r="E70" s="12" t="s">
        <v>11</v>
      </c>
      <c r="F70" s="12" t="s">
        <v>27</v>
      </c>
      <c r="G70" s="12">
        <v>10</v>
      </c>
      <c r="H70" s="12">
        <v>30</v>
      </c>
      <c r="I70" s="12" t="s">
        <v>13</v>
      </c>
      <c r="J70" s="12" t="s">
        <v>14</v>
      </c>
    </row>
    <row r="71" spans="1:10" ht="20.55" customHeight="1" x14ac:dyDescent="0.3">
      <c r="A71" s="11">
        <v>46285.819097222222</v>
      </c>
      <c r="B71" s="12" t="s">
        <v>33</v>
      </c>
      <c r="C71" s="12">
        <v>28.632999999999999</v>
      </c>
      <c r="D71" s="12">
        <v>77.2196</v>
      </c>
      <c r="E71" s="12" t="s">
        <v>11</v>
      </c>
      <c r="F71" s="12" t="s">
        <v>21</v>
      </c>
      <c r="G71" s="12">
        <v>31</v>
      </c>
      <c r="H71" s="12">
        <v>9.68</v>
      </c>
      <c r="I71" s="12" t="s">
        <v>16</v>
      </c>
      <c r="J71" s="12" t="s">
        <v>14</v>
      </c>
    </row>
    <row r="72" spans="1:10" ht="20.55" customHeight="1" x14ac:dyDescent="0.3">
      <c r="A72" s="11">
        <v>46273.432164351849</v>
      </c>
      <c r="B72" s="12" t="s">
        <v>28</v>
      </c>
      <c r="C72" s="12">
        <v>28.6129</v>
      </c>
      <c r="D72" s="12">
        <v>77.229500000000002</v>
      </c>
      <c r="E72" s="12" t="s">
        <v>11</v>
      </c>
      <c r="F72" s="12" t="s">
        <v>15</v>
      </c>
      <c r="G72" s="12">
        <v>20</v>
      </c>
      <c r="H72" s="12">
        <v>15</v>
      </c>
      <c r="I72" s="12" t="s">
        <v>16</v>
      </c>
      <c r="J72" s="12" t="s">
        <v>30</v>
      </c>
    </row>
    <row r="73" spans="1:10" ht="20.55" customHeight="1" x14ac:dyDescent="0.3">
      <c r="A73" s="11">
        <v>46284.507534722223</v>
      </c>
      <c r="B73" s="12" t="s">
        <v>23</v>
      </c>
      <c r="C73" s="12">
        <v>28.567599999999999</v>
      </c>
      <c r="D73" s="12">
        <v>77.209599999999995</v>
      </c>
      <c r="E73" s="12" t="s">
        <v>11</v>
      </c>
      <c r="F73" s="12" t="s">
        <v>12</v>
      </c>
      <c r="G73" s="12">
        <v>26</v>
      </c>
      <c r="H73" s="12">
        <v>11.54</v>
      </c>
      <c r="I73" s="12" t="s">
        <v>16</v>
      </c>
      <c r="J73" s="12" t="s">
        <v>14</v>
      </c>
    </row>
    <row r="74" spans="1:10" ht="20.55" customHeight="1" x14ac:dyDescent="0.3">
      <c r="A74" s="11">
        <v>46289.608043981483</v>
      </c>
      <c r="B74" s="12" t="s">
        <v>28</v>
      </c>
      <c r="C74" s="12">
        <v>28.6129</v>
      </c>
      <c r="D74" s="12">
        <v>77.229500000000002</v>
      </c>
      <c r="E74" s="12" t="s">
        <v>11</v>
      </c>
      <c r="F74" s="12" t="s">
        <v>27</v>
      </c>
      <c r="G74" s="12">
        <v>38</v>
      </c>
      <c r="H74" s="12">
        <v>7.89</v>
      </c>
      <c r="I74" s="12" t="s">
        <v>29</v>
      </c>
      <c r="J74" s="12" t="s">
        <v>30</v>
      </c>
    </row>
    <row r="75" spans="1:10" ht="20.55" customHeight="1" x14ac:dyDescent="0.3">
      <c r="A75" s="11">
        <v>46271.974872685183</v>
      </c>
      <c r="B75" s="12" t="s">
        <v>25</v>
      </c>
      <c r="C75" s="12">
        <v>28.656199999999998</v>
      </c>
      <c r="D75" s="12">
        <v>77.231499999999997</v>
      </c>
      <c r="E75" s="12" t="s">
        <v>26</v>
      </c>
      <c r="F75" s="12" t="s">
        <v>27</v>
      </c>
      <c r="G75" s="12">
        <v>19</v>
      </c>
      <c r="H75" s="12">
        <v>15.79</v>
      </c>
      <c r="I75" s="12" t="s">
        <v>24</v>
      </c>
      <c r="J75" s="12" t="s">
        <v>30</v>
      </c>
    </row>
    <row r="76" spans="1:10" ht="20.55" customHeight="1" x14ac:dyDescent="0.3">
      <c r="A76" s="11">
        <v>46283.195983796293</v>
      </c>
      <c r="B76" s="12" t="s">
        <v>23</v>
      </c>
      <c r="C76" s="12">
        <v>28.567599999999999</v>
      </c>
      <c r="D76" s="12">
        <v>77.209599999999995</v>
      </c>
      <c r="E76" s="12" t="s">
        <v>11</v>
      </c>
      <c r="F76" s="12" t="s">
        <v>22</v>
      </c>
      <c r="G76" s="12">
        <v>23</v>
      </c>
      <c r="H76" s="12">
        <v>13.04</v>
      </c>
      <c r="I76" s="12" t="s">
        <v>16</v>
      </c>
      <c r="J76" s="12" t="s">
        <v>30</v>
      </c>
    </row>
    <row r="77" spans="1:10" ht="20.55" customHeight="1" x14ac:dyDescent="0.3">
      <c r="A77" s="11">
        <v>46282.46733796296</v>
      </c>
      <c r="B77" s="12" t="s">
        <v>33</v>
      </c>
      <c r="C77" s="12">
        <v>28.632999999999999</v>
      </c>
      <c r="D77" s="12">
        <v>77.2196</v>
      </c>
      <c r="E77" s="12" t="s">
        <v>11</v>
      </c>
      <c r="F77" s="12" t="s">
        <v>15</v>
      </c>
      <c r="G77" s="12">
        <v>50</v>
      </c>
      <c r="H77" s="12">
        <v>6</v>
      </c>
      <c r="I77" s="12" t="s">
        <v>29</v>
      </c>
      <c r="J77" s="12" t="s">
        <v>14</v>
      </c>
    </row>
    <row r="78" spans="1:10" ht="20.55" customHeight="1" x14ac:dyDescent="0.3">
      <c r="A78" s="11">
        <v>46269.788946759261</v>
      </c>
      <c r="B78" s="12" t="s">
        <v>23</v>
      </c>
      <c r="C78" s="12">
        <v>28.567599999999999</v>
      </c>
      <c r="D78" s="12">
        <v>77.209599999999995</v>
      </c>
      <c r="E78" s="12" t="s">
        <v>11</v>
      </c>
      <c r="F78" s="12" t="s">
        <v>15</v>
      </c>
      <c r="G78" s="12">
        <v>39</v>
      </c>
      <c r="H78" s="12">
        <v>7.69</v>
      </c>
      <c r="I78" s="12" t="s">
        <v>16</v>
      </c>
      <c r="J78" s="12" t="s">
        <v>14</v>
      </c>
    </row>
    <row r="79" spans="1:10" ht="20.55" customHeight="1" x14ac:dyDescent="0.3">
      <c r="A79" s="11">
        <v>46286.256284722222</v>
      </c>
      <c r="B79" s="12" t="s">
        <v>18</v>
      </c>
      <c r="C79" s="12">
        <v>28.5562</v>
      </c>
      <c r="D79" s="12">
        <v>77.099999999999994</v>
      </c>
      <c r="E79" s="12" t="s">
        <v>19</v>
      </c>
      <c r="F79" s="12" t="s">
        <v>27</v>
      </c>
      <c r="G79" s="12">
        <v>42</v>
      </c>
      <c r="H79" s="12">
        <v>7.14</v>
      </c>
      <c r="I79" s="12" t="s">
        <v>24</v>
      </c>
      <c r="J79" s="12" t="s">
        <v>14</v>
      </c>
    </row>
    <row r="80" spans="1:10" ht="20.55" customHeight="1" x14ac:dyDescent="0.3">
      <c r="A80" s="11">
        <v>46280.572858796288</v>
      </c>
      <c r="B80" s="12" t="s">
        <v>33</v>
      </c>
      <c r="C80" s="12">
        <v>28.632999999999999</v>
      </c>
      <c r="D80" s="12">
        <v>77.2196</v>
      </c>
      <c r="E80" s="12" t="s">
        <v>11</v>
      </c>
      <c r="F80" s="12" t="s">
        <v>27</v>
      </c>
      <c r="G80" s="12">
        <v>33</v>
      </c>
      <c r="H80" s="12">
        <v>9.09</v>
      </c>
      <c r="I80" s="12" t="s">
        <v>29</v>
      </c>
      <c r="J80" s="12" t="s">
        <v>30</v>
      </c>
    </row>
    <row r="81" spans="1:10" ht="20.55" customHeight="1" x14ac:dyDescent="0.3">
      <c r="A81" s="11">
        <v>46282.175879629627</v>
      </c>
      <c r="B81" s="12" t="s">
        <v>28</v>
      </c>
      <c r="C81" s="12">
        <v>28.6129</v>
      </c>
      <c r="D81" s="12">
        <v>77.229500000000002</v>
      </c>
      <c r="E81" s="12" t="s">
        <v>11</v>
      </c>
      <c r="F81" s="12" t="s">
        <v>22</v>
      </c>
      <c r="G81" s="12">
        <v>15</v>
      </c>
      <c r="H81" s="12">
        <v>20</v>
      </c>
      <c r="I81" s="12" t="s">
        <v>13</v>
      </c>
      <c r="J81" s="12" t="s">
        <v>32</v>
      </c>
    </row>
    <row r="82" spans="1:10" ht="20.55" customHeight="1" x14ac:dyDescent="0.3">
      <c r="A82" s="11">
        <v>46266.291458333333</v>
      </c>
      <c r="B82" s="12" t="s">
        <v>25</v>
      </c>
      <c r="C82" s="12">
        <v>28.656199999999998</v>
      </c>
      <c r="D82" s="12">
        <v>77.231499999999997</v>
      </c>
      <c r="E82" s="12" t="s">
        <v>26</v>
      </c>
      <c r="F82" s="12" t="s">
        <v>21</v>
      </c>
      <c r="G82" s="12">
        <v>20</v>
      </c>
      <c r="H82" s="12">
        <v>15</v>
      </c>
      <c r="I82" s="12" t="s">
        <v>16</v>
      </c>
      <c r="J82" s="12" t="s">
        <v>17</v>
      </c>
    </row>
    <row r="83" spans="1:10" ht="20.55" customHeight="1" x14ac:dyDescent="0.3">
      <c r="A83" s="11">
        <v>46277.22111111111</v>
      </c>
      <c r="B83" s="12" t="s">
        <v>31</v>
      </c>
      <c r="C83" s="12">
        <v>28.6328</v>
      </c>
      <c r="D83" s="12">
        <v>77.219499999999996</v>
      </c>
      <c r="E83" s="12" t="s">
        <v>11</v>
      </c>
      <c r="F83" s="12" t="s">
        <v>22</v>
      </c>
      <c r="G83" s="12">
        <v>38</v>
      </c>
      <c r="H83" s="12">
        <v>7.89</v>
      </c>
      <c r="I83" s="12" t="s">
        <v>29</v>
      </c>
      <c r="J83" s="12" t="s">
        <v>30</v>
      </c>
    </row>
    <row r="84" spans="1:10" ht="20.55" customHeight="1" x14ac:dyDescent="0.3">
      <c r="A84" s="11">
        <v>46272.703518518523</v>
      </c>
      <c r="B84" s="12" t="s">
        <v>31</v>
      </c>
      <c r="C84" s="12">
        <v>28.6328</v>
      </c>
      <c r="D84" s="12">
        <v>77.219499999999996</v>
      </c>
      <c r="E84" s="12" t="s">
        <v>11</v>
      </c>
      <c r="F84" s="12" t="s">
        <v>27</v>
      </c>
      <c r="G84" s="12">
        <v>24</v>
      </c>
      <c r="H84" s="12">
        <v>12.5</v>
      </c>
      <c r="I84" s="12" t="s">
        <v>16</v>
      </c>
      <c r="J84" s="12" t="s">
        <v>14</v>
      </c>
    </row>
    <row r="85" spans="1:10" ht="20.55" customHeight="1" x14ac:dyDescent="0.3">
      <c r="A85" s="11">
        <v>46293.251261574071</v>
      </c>
      <c r="B85" s="12" t="s">
        <v>23</v>
      </c>
      <c r="C85" s="12">
        <v>28.567599999999999</v>
      </c>
      <c r="D85" s="12">
        <v>77.209599999999995</v>
      </c>
      <c r="E85" s="12" t="s">
        <v>11</v>
      </c>
      <c r="F85" s="12" t="s">
        <v>21</v>
      </c>
      <c r="G85" s="12">
        <v>22</v>
      </c>
      <c r="H85" s="12">
        <v>13.64</v>
      </c>
      <c r="I85" s="12" t="s">
        <v>24</v>
      </c>
      <c r="J85" s="12" t="s">
        <v>14</v>
      </c>
    </row>
    <row r="86" spans="1:10" ht="20.55" customHeight="1" x14ac:dyDescent="0.3">
      <c r="A86" s="11">
        <v>46293.834166666667</v>
      </c>
      <c r="B86" s="12" t="s">
        <v>31</v>
      </c>
      <c r="C86" s="12">
        <v>28.6328</v>
      </c>
      <c r="D86" s="12">
        <v>77.219499999999996</v>
      </c>
      <c r="E86" s="12" t="s">
        <v>11</v>
      </c>
      <c r="F86" s="12" t="s">
        <v>27</v>
      </c>
      <c r="G86" s="12">
        <v>14</v>
      </c>
      <c r="H86" s="12">
        <v>21.43</v>
      </c>
      <c r="I86" s="12" t="s">
        <v>13</v>
      </c>
      <c r="J86" s="12" t="s">
        <v>14</v>
      </c>
    </row>
    <row r="87" spans="1:10" ht="20.55" customHeight="1" x14ac:dyDescent="0.3">
      <c r="A87" s="11">
        <v>46278.386932870373</v>
      </c>
      <c r="B87" s="12" t="s">
        <v>23</v>
      </c>
      <c r="C87" s="12">
        <v>28.567599999999999</v>
      </c>
      <c r="D87" s="12">
        <v>77.209599999999995</v>
      </c>
      <c r="E87" s="12" t="s">
        <v>11</v>
      </c>
      <c r="F87" s="12" t="s">
        <v>27</v>
      </c>
      <c r="G87" s="12">
        <v>31</v>
      </c>
      <c r="H87" s="12">
        <v>9.68</v>
      </c>
      <c r="I87" s="12" t="s">
        <v>16</v>
      </c>
      <c r="J87" s="12" t="s">
        <v>14</v>
      </c>
    </row>
    <row r="88" spans="1:10" ht="20.55" customHeight="1" x14ac:dyDescent="0.3">
      <c r="A88" s="11">
        <v>46289.462314814817</v>
      </c>
      <c r="B88" s="12" t="s">
        <v>20</v>
      </c>
      <c r="C88" s="12">
        <v>28.571400000000001</v>
      </c>
      <c r="D88" s="12">
        <v>77.281300000000002</v>
      </c>
      <c r="E88" s="12" t="s">
        <v>19</v>
      </c>
      <c r="F88" s="12" t="s">
        <v>27</v>
      </c>
      <c r="G88" s="12">
        <v>41</v>
      </c>
      <c r="H88" s="12">
        <v>7.32</v>
      </c>
      <c r="I88" s="12" t="s">
        <v>16</v>
      </c>
      <c r="J88" s="12" t="s">
        <v>14</v>
      </c>
    </row>
    <row r="89" spans="1:10" ht="20.55" customHeight="1" x14ac:dyDescent="0.3">
      <c r="A89" s="11">
        <v>46271.24622685185</v>
      </c>
      <c r="B89" s="12" t="s">
        <v>33</v>
      </c>
      <c r="C89" s="12">
        <v>28.632999999999999</v>
      </c>
      <c r="D89" s="12">
        <v>77.2196</v>
      </c>
      <c r="E89" s="12" t="s">
        <v>11</v>
      </c>
      <c r="F89" s="12" t="s">
        <v>12</v>
      </c>
      <c r="G89" s="12">
        <v>15</v>
      </c>
      <c r="H89" s="12">
        <v>20</v>
      </c>
      <c r="I89" s="12" t="s">
        <v>24</v>
      </c>
      <c r="J89" s="12" t="s">
        <v>32</v>
      </c>
    </row>
    <row r="90" spans="1:10" ht="20.55" customHeight="1" x14ac:dyDescent="0.3">
      <c r="A90" s="11">
        <v>46293.688437500001</v>
      </c>
      <c r="B90" s="12" t="s">
        <v>31</v>
      </c>
      <c r="C90" s="12">
        <v>28.6328</v>
      </c>
      <c r="D90" s="12">
        <v>77.219499999999996</v>
      </c>
      <c r="E90" s="12" t="s">
        <v>11</v>
      </c>
      <c r="F90" s="12" t="s">
        <v>12</v>
      </c>
      <c r="G90" s="12">
        <v>29</v>
      </c>
      <c r="H90" s="12">
        <v>10.34</v>
      </c>
      <c r="I90" s="12" t="s">
        <v>24</v>
      </c>
      <c r="J90" s="12" t="s">
        <v>14</v>
      </c>
    </row>
    <row r="91" spans="1:10" ht="20.55" customHeight="1" x14ac:dyDescent="0.3">
      <c r="A91" s="11">
        <v>46274.889444444438</v>
      </c>
      <c r="B91" s="12" t="s">
        <v>18</v>
      </c>
      <c r="C91" s="12">
        <v>28.5562</v>
      </c>
      <c r="D91" s="12">
        <v>77.099999999999994</v>
      </c>
      <c r="E91" s="12" t="s">
        <v>19</v>
      </c>
      <c r="F91" s="12" t="s">
        <v>21</v>
      </c>
      <c r="G91" s="12">
        <v>42</v>
      </c>
      <c r="H91" s="12">
        <v>7.14</v>
      </c>
      <c r="I91" s="12" t="s">
        <v>24</v>
      </c>
      <c r="J91" s="12" t="s">
        <v>14</v>
      </c>
    </row>
    <row r="92" spans="1:10" ht="20.55" customHeight="1" x14ac:dyDescent="0.3">
      <c r="A92" s="11">
        <v>46269.206030092602</v>
      </c>
      <c r="B92" s="12" t="s">
        <v>18</v>
      </c>
      <c r="C92" s="12">
        <v>28.5562</v>
      </c>
      <c r="D92" s="12">
        <v>77.099999999999994</v>
      </c>
      <c r="E92" s="12" t="s">
        <v>19</v>
      </c>
      <c r="F92" s="12" t="s">
        <v>22</v>
      </c>
      <c r="G92" s="12">
        <v>66</v>
      </c>
      <c r="H92" s="12">
        <v>4.55</v>
      </c>
      <c r="I92" s="12" t="s">
        <v>29</v>
      </c>
      <c r="J92" s="12" t="s">
        <v>32</v>
      </c>
    </row>
    <row r="93" spans="1:10" ht="20.55" customHeight="1" x14ac:dyDescent="0.3">
      <c r="A93" s="11">
        <v>46286.547743055547</v>
      </c>
      <c r="B93" s="12" t="s">
        <v>10</v>
      </c>
      <c r="C93" s="12">
        <v>28.545300000000001</v>
      </c>
      <c r="D93" s="12">
        <v>77.192499999999995</v>
      </c>
      <c r="E93" s="12" t="s">
        <v>11</v>
      </c>
      <c r="F93" s="12" t="s">
        <v>22</v>
      </c>
      <c r="G93" s="12">
        <v>39</v>
      </c>
      <c r="H93" s="12">
        <v>7.69</v>
      </c>
      <c r="I93" s="12" t="s">
        <v>16</v>
      </c>
      <c r="J93" s="12" t="s">
        <v>14</v>
      </c>
    </row>
    <row r="94" spans="1:10" ht="20.55" customHeight="1" x14ac:dyDescent="0.3">
      <c r="A94" s="11">
        <v>46280.718587962961</v>
      </c>
      <c r="B94" s="12" t="s">
        <v>31</v>
      </c>
      <c r="C94" s="12">
        <v>28.6328</v>
      </c>
      <c r="D94" s="12">
        <v>77.219499999999996</v>
      </c>
      <c r="E94" s="12" t="s">
        <v>11</v>
      </c>
      <c r="F94" s="12" t="s">
        <v>22</v>
      </c>
      <c r="G94" s="12">
        <v>30</v>
      </c>
      <c r="H94" s="12">
        <v>10</v>
      </c>
      <c r="I94" s="12" t="s">
        <v>29</v>
      </c>
      <c r="J94" s="12" t="s">
        <v>14</v>
      </c>
    </row>
    <row r="95" spans="1:10" ht="20.55" customHeight="1" x14ac:dyDescent="0.3">
      <c r="A95" s="11">
        <v>46270.809050925927</v>
      </c>
      <c r="B95" s="12" t="s">
        <v>10</v>
      </c>
      <c r="C95" s="12">
        <v>28.545300000000001</v>
      </c>
      <c r="D95" s="12">
        <v>77.192499999999995</v>
      </c>
      <c r="E95" s="12" t="s">
        <v>11</v>
      </c>
      <c r="F95" s="12" t="s">
        <v>27</v>
      </c>
      <c r="G95" s="12">
        <v>21</v>
      </c>
      <c r="H95" s="12">
        <v>14.29</v>
      </c>
      <c r="I95" s="12" t="s">
        <v>16</v>
      </c>
      <c r="J95" s="12" t="s">
        <v>14</v>
      </c>
    </row>
    <row r="96" spans="1:10" ht="20.55" customHeight="1" x14ac:dyDescent="0.3">
      <c r="A96" s="11">
        <v>46267.603020833332</v>
      </c>
      <c r="B96" s="12" t="s">
        <v>25</v>
      </c>
      <c r="C96" s="12">
        <v>28.656199999999998</v>
      </c>
      <c r="D96" s="12">
        <v>77.231499999999997</v>
      </c>
      <c r="E96" s="12" t="s">
        <v>26</v>
      </c>
      <c r="F96" s="12" t="s">
        <v>15</v>
      </c>
      <c r="G96" s="12">
        <v>21</v>
      </c>
      <c r="H96" s="12">
        <v>14.29</v>
      </c>
      <c r="I96" s="12" t="s">
        <v>16</v>
      </c>
      <c r="J96" s="12" t="s">
        <v>14</v>
      </c>
    </row>
    <row r="97" spans="1:10" ht="20.55" customHeight="1" x14ac:dyDescent="0.3">
      <c r="A97" s="11">
        <v>46294.271354166667</v>
      </c>
      <c r="B97" s="12" t="s">
        <v>10</v>
      </c>
      <c r="C97" s="12">
        <v>28.545300000000001</v>
      </c>
      <c r="D97" s="12">
        <v>77.192499999999995</v>
      </c>
      <c r="E97" s="12" t="s">
        <v>11</v>
      </c>
      <c r="F97" s="12" t="s">
        <v>15</v>
      </c>
      <c r="G97" s="12">
        <v>21</v>
      </c>
      <c r="H97" s="12">
        <v>14.29</v>
      </c>
      <c r="I97" s="12" t="s">
        <v>24</v>
      </c>
      <c r="J97" s="12" t="s">
        <v>30</v>
      </c>
    </row>
    <row r="98" spans="1:10" ht="20.55" customHeight="1" x14ac:dyDescent="0.3">
      <c r="A98" s="11">
        <v>46289.170856481483</v>
      </c>
      <c r="B98" s="12" t="s">
        <v>23</v>
      </c>
      <c r="C98" s="12">
        <v>28.567599999999999</v>
      </c>
      <c r="D98" s="12">
        <v>77.209599999999995</v>
      </c>
      <c r="E98" s="12" t="s">
        <v>11</v>
      </c>
      <c r="F98" s="12" t="s">
        <v>22</v>
      </c>
      <c r="G98" s="12">
        <v>27</v>
      </c>
      <c r="H98" s="12">
        <v>11.11</v>
      </c>
      <c r="I98" s="12" t="s">
        <v>16</v>
      </c>
      <c r="J98" s="12" t="s">
        <v>14</v>
      </c>
    </row>
    <row r="99" spans="1:10" ht="20.55" customHeight="1" x14ac:dyDescent="0.3">
      <c r="A99" s="11">
        <v>46266.874374999999</v>
      </c>
      <c r="B99" s="12" t="s">
        <v>25</v>
      </c>
      <c r="C99" s="12">
        <v>28.656199999999998</v>
      </c>
      <c r="D99" s="12">
        <v>77.231499999999997</v>
      </c>
      <c r="E99" s="12" t="s">
        <v>26</v>
      </c>
      <c r="F99" s="12" t="s">
        <v>27</v>
      </c>
      <c r="G99" s="12">
        <v>40</v>
      </c>
      <c r="H99" s="12">
        <v>7.5</v>
      </c>
      <c r="I99" s="12" t="s">
        <v>29</v>
      </c>
      <c r="J99" s="12" t="s">
        <v>14</v>
      </c>
    </row>
    <row r="100" spans="1:10" ht="20.55" customHeight="1" x14ac:dyDescent="0.3">
      <c r="A100" s="11">
        <v>46269.934675925928</v>
      </c>
      <c r="B100" s="12" t="s">
        <v>18</v>
      </c>
      <c r="C100" s="12">
        <v>28.5562</v>
      </c>
      <c r="D100" s="12">
        <v>77.099999999999994</v>
      </c>
      <c r="E100" s="12" t="s">
        <v>19</v>
      </c>
      <c r="F100" s="12" t="s">
        <v>22</v>
      </c>
      <c r="G100" s="12">
        <v>45</v>
      </c>
      <c r="H100" s="12">
        <v>6.67</v>
      </c>
      <c r="I100" s="12" t="s">
        <v>16</v>
      </c>
      <c r="J100" s="12" t="s">
        <v>32</v>
      </c>
    </row>
    <row r="101" spans="1:10" ht="20.55" customHeight="1" x14ac:dyDescent="0.3">
      <c r="A101" s="11">
        <v>46283.487442129634</v>
      </c>
      <c r="B101" s="12" t="s">
        <v>10</v>
      </c>
      <c r="C101" s="12">
        <v>28.545300000000001</v>
      </c>
      <c r="D101" s="12">
        <v>77.192499999999995</v>
      </c>
      <c r="E101" s="12" t="s">
        <v>11</v>
      </c>
      <c r="F101" s="12" t="s">
        <v>22</v>
      </c>
      <c r="G101" s="12">
        <v>11</v>
      </c>
      <c r="H101" s="12">
        <v>27.27</v>
      </c>
      <c r="I101" s="12" t="s">
        <v>13</v>
      </c>
      <c r="J101" s="12" t="s">
        <v>14</v>
      </c>
    </row>
    <row r="102" spans="1:10" ht="20.55" customHeight="1" x14ac:dyDescent="0.3">
      <c r="A102" s="11">
        <v>46266.582916666674</v>
      </c>
      <c r="B102" s="12" t="s">
        <v>25</v>
      </c>
      <c r="C102" s="12">
        <v>28.656199999999998</v>
      </c>
      <c r="D102" s="12">
        <v>77.231499999999997</v>
      </c>
      <c r="E102" s="12" t="s">
        <v>26</v>
      </c>
      <c r="F102" s="12" t="s">
        <v>21</v>
      </c>
      <c r="G102" s="12">
        <v>15</v>
      </c>
      <c r="H102" s="12">
        <v>20</v>
      </c>
      <c r="I102" s="12" t="s">
        <v>16</v>
      </c>
      <c r="J102" s="12" t="s">
        <v>30</v>
      </c>
    </row>
    <row r="103" spans="1:10" ht="20.55" customHeight="1" x14ac:dyDescent="0.3">
      <c r="A103" s="11">
        <v>46270.663321759261</v>
      </c>
      <c r="B103" s="12" t="s">
        <v>23</v>
      </c>
      <c r="C103" s="12">
        <v>28.567599999999999</v>
      </c>
      <c r="D103" s="12">
        <v>77.209599999999995</v>
      </c>
      <c r="E103" s="12" t="s">
        <v>11</v>
      </c>
      <c r="F103" s="12" t="s">
        <v>21</v>
      </c>
      <c r="G103" s="12">
        <v>22</v>
      </c>
      <c r="H103" s="12">
        <v>13.64</v>
      </c>
      <c r="I103" s="12" t="s">
        <v>24</v>
      </c>
      <c r="J103" s="12" t="s">
        <v>30</v>
      </c>
    </row>
    <row r="104" spans="1:10" ht="20.55" customHeight="1" x14ac:dyDescent="0.3">
      <c r="A104" s="11">
        <v>46286.693472222221</v>
      </c>
      <c r="B104" s="12" t="s">
        <v>20</v>
      </c>
      <c r="C104" s="12">
        <v>28.571400000000001</v>
      </c>
      <c r="D104" s="12">
        <v>77.281300000000002</v>
      </c>
      <c r="E104" s="12" t="s">
        <v>19</v>
      </c>
      <c r="F104" s="12" t="s">
        <v>27</v>
      </c>
      <c r="G104" s="12">
        <v>40</v>
      </c>
      <c r="H104" s="12">
        <v>7.5</v>
      </c>
      <c r="I104" s="12" t="s">
        <v>16</v>
      </c>
      <c r="J104" s="12" t="s">
        <v>14</v>
      </c>
    </row>
    <row r="105" spans="1:10" ht="20.55" customHeight="1" x14ac:dyDescent="0.3">
      <c r="A105" s="11">
        <v>46287.130648148152</v>
      </c>
      <c r="B105" s="12" t="s">
        <v>33</v>
      </c>
      <c r="C105" s="12">
        <v>28.632999999999999</v>
      </c>
      <c r="D105" s="12">
        <v>77.2196</v>
      </c>
      <c r="E105" s="12" t="s">
        <v>11</v>
      </c>
      <c r="F105" s="12" t="s">
        <v>15</v>
      </c>
      <c r="G105" s="12">
        <v>22</v>
      </c>
      <c r="H105" s="12">
        <v>13.64</v>
      </c>
      <c r="I105" s="12" t="s">
        <v>24</v>
      </c>
      <c r="J105" s="12" t="s">
        <v>30</v>
      </c>
    </row>
    <row r="106" spans="1:10" ht="20.55" customHeight="1" x14ac:dyDescent="0.3">
      <c r="A106" s="11">
        <v>46281.884421296287</v>
      </c>
      <c r="B106" s="12" t="s">
        <v>10</v>
      </c>
      <c r="C106" s="12">
        <v>28.545300000000001</v>
      </c>
      <c r="D106" s="12">
        <v>77.192499999999995</v>
      </c>
      <c r="E106" s="12" t="s">
        <v>11</v>
      </c>
      <c r="F106" s="12" t="s">
        <v>15</v>
      </c>
      <c r="G106" s="12">
        <v>8</v>
      </c>
      <c r="H106" s="12">
        <v>37.5</v>
      </c>
      <c r="I106" s="12" t="s">
        <v>13</v>
      </c>
      <c r="J106" s="12" t="s">
        <v>14</v>
      </c>
    </row>
    <row r="107" spans="1:10" ht="20.55" customHeight="1" x14ac:dyDescent="0.3">
      <c r="A107" s="11">
        <v>46286.984918981478</v>
      </c>
      <c r="B107" s="12" t="s">
        <v>25</v>
      </c>
      <c r="C107" s="12">
        <v>28.656199999999998</v>
      </c>
      <c r="D107" s="12">
        <v>77.231499999999997</v>
      </c>
      <c r="E107" s="12" t="s">
        <v>26</v>
      </c>
      <c r="F107" s="12" t="s">
        <v>21</v>
      </c>
      <c r="G107" s="12">
        <v>8</v>
      </c>
      <c r="H107" s="12">
        <v>37.5</v>
      </c>
      <c r="I107" s="12" t="s">
        <v>13</v>
      </c>
      <c r="J107" s="12" t="s">
        <v>32</v>
      </c>
    </row>
    <row r="108" spans="1:10" ht="20.55" customHeight="1" x14ac:dyDescent="0.3">
      <c r="A108" s="11">
        <v>46267.457291666673</v>
      </c>
      <c r="B108" s="12" t="s">
        <v>31</v>
      </c>
      <c r="C108" s="12">
        <v>28.6328</v>
      </c>
      <c r="D108" s="12">
        <v>77.219499999999996</v>
      </c>
      <c r="E108" s="12" t="s">
        <v>11</v>
      </c>
      <c r="F108" s="12" t="s">
        <v>12</v>
      </c>
      <c r="G108" s="12">
        <v>29</v>
      </c>
      <c r="H108" s="12">
        <v>10.34</v>
      </c>
      <c r="I108" s="12" t="s">
        <v>16</v>
      </c>
      <c r="J108" s="12" t="s">
        <v>32</v>
      </c>
    </row>
    <row r="109" spans="1:10" ht="20.55" customHeight="1" x14ac:dyDescent="0.3">
      <c r="A109" s="11">
        <v>46275.035173611112</v>
      </c>
      <c r="B109" s="12" t="s">
        <v>33</v>
      </c>
      <c r="C109" s="12">
        <v>28.632999999999999</v>
      </c>
      <c r="D109" s="12">
        <v>77.2196</v>
      </c>
      <c r="E109" s="12" t="s">
        <v>11</v>
      </c>
      <c r="F109" s="12" t="s">
        <v>21</v>
      </c>
      <c r="G109" s="12">
        <v>12</v>
      </c>
      <c r="H109" s="12">
        <v>25</v>
      </c>
      <c r="I109" s="12" t="s">
        <v>24</v>
      </c>
      <c r="J109" s="12" t="s">
        <v>14</v>
      </c>
    </row>
    <row r="110" spans="1:10" ht="20.55" customHeight="1" x14ac:dyDescent="0.3">
      <c r="A110" s="11">
        <v>46282.321608796286</v>
      </c>
      <c r="B110" s="12" t="s">
        <v>10</v>
      </c>
      <c r="C110" s="12">
        <v>28.545300000000001</v>
      </c>
      <c r="D110" s="12">
        <v>77.192499999999995</v>
      </c>
      <c r="E110" s="12" t="s">
        <v>11</v>
      </c>
      <c r="F110" s="12" t="s">
        <v>21</v>
      </c>
      <c r="G110" s="12">
        <v>14</v>
      </c>
      <c r="H110" s="12">
        <v>21.43</v>
      </c>
      <c r="I110" s="12" t="s">
        <v>13</v>
      </c>
      <c r="J110" s="12" t="s">
        <v>14</v>
      </c>
    </row>
    <row r="111" spans="1:10" ht="20.55" customHeight="1" x14ac:dyDescent="0.3">
      <c r="A111" s="11">
        <v>46287.276377314818</v>
      </c>
      <c r="B111" s="12" t="s">
        <v>18</v>
      </c>
      <c r="C111" s="12">
        <v>28.5562</v>
      </c>
      <c r="D111" s="12">
        <v>77.099999999999994</v>
      </c>
      <c r="E111" s="12" t="s">
        <v>19</v>
      </c>
      <c r="F111" s="12" t="s">
        <v>15</v>
      </c>
      <c r="G111" s="12">
        <v>67</v>
      </c>
      <c r="H111" s="12">
        <v>4.4800000000000004</v>
      </c>
      <c r="I111" s="12" t="s">
        <v>29</v>
      </c>
      <c r="J111" s="12" t="s">
        <v>14</v>
      </c>
    </row>
    <row r="112" spans="1:10" ht="20.55" customHeight="1" x14ac:dyDescent="0.3">
      <c r="A112" s="11">
        <v>46290.190949074073</v>
      </c>
      <c r="B112" s="12" t="s">
        <v>18</v>
      </c>
      <c r="C112" s="12">
        <v>28.5562</v>
      </c>
      <c r="D112" s="12">
        <v>77.099999999999994</v>
      </c>
      <c r="E112" s="12" t="s">
        <v>19</v>
      </c>
      <c r="F112" s="12" t="s">
        <v>22</v>
      </c>
      <c r="G112" s="12">
        <v>69</v>
      </c>
      <c r="H112" s="12">
        <v>4.3499999999999996</v>
      </c>
      <c r="I112" s="12" t="s">
        <v>16</v>
      </c>
      <c r="J112" s="12" t="s">
        <v>14</v>
      </c>
    </row>
    <row r="113" spans="1:10" ht="20.55" customHeight="1" x14ac:dyDescent="0.3">
      <c r="A113" s="11">
        <v>46266</v>
      </c>
      <c r="B113" s="12" t="s">
        <v>28</v>
      </c>
      <c r="C113" s="12">
        <v>28.6129</v>
      </c>
      <c r="D113" s="12">
        <v>77.229500000000002</v>
      </c>
      <c r="E113" s="12" t="s">
        <v>11</v>
      </c>
      <c r="F113" s="12" t="s">
        <v>15</v>
      </c>
      <c r="G113" s="12">
        <v>11</v>
      </c>
      <c r="H113" s="12">
        <v>27.27</v>
      </c>
      <c r="I113" s="12" t="s">
        <v>24</v>
      </c>
      <c r="J113" s="12" t="s">
        <v>14</v>
      </c>
    </row>
    <row r="114" spans="1:10" ht="20.55" customHeight="1" x14ac:dyDescent="0.3">
      <c r="A114" s="11">
        <v>46294.854270833333</v>
      </c>
      <c r="B114" s="12" t="s">
        <v>33</v>
      </c>
      <c r="C114" s="12">
        <v>28.632999999999999</v>
      </c>
      <c r="D114" s="12">
        <v>77.2196</v>
      </c>
      <c r="E114" s="12" t="s">
        <v>11</v>
      </c>
      <c r="F114" s="12" t="s">
        <v>22</v>
      </c>
      <c r="G114" s="12">
        <v>43</v>
      </c>
      <c r="H114" s="12">
        <v>6.98</v>
      </c>
      <c r="I114" s="12" t="s">
        <v>29</v>
      </c>
      <c r="J114" s="12" t="s">
        <v>32</v>
      </c>
    </row>
    <row r="115" spans="1:10" ht="20.55" customHeight="1" x14ac:dyDescent="0.3">
      <c r="A115" s="11">
        <v>46288.296481481477</v>
      </c>
      <c r="B115" s="12" t="s">
        <v>31</v>
      </c>
      <c r="C115" s="12">
        <v>28.6328</v>
      </c>
      <c r="D115" s="12">
        <v>77.219499999999996</v>
      </c>
      <c r="E115" s="12" t="s">
        <v>11</v>
      </c>
      <c r="F115" s="12" t="s">
        <v>15</v>
      </c>
      <c r="G115" s="12">
        <v>18</v>
      </c>
      <c r="H115" s="12">
        <v>16.670000000000002</v>
      </c>
      <c r="I115" s="12" t="s">
        <v>24</v>
      </c>
      <c r="J115" s="12" t="s">
        <v>14</v>
      </c>
    </row>
    <row r="116" spans="1:10" ht="20.55" customHeight="1" x14ac:dyDescent="0.3">
      <c r="A116" s="11">
        <v>46276.201006944437</v>
      </c>
      <c r="B116" s="12" t="s">
        <v>31</v>
      </c>
      <c r="C116" s="12">
        <v>28.6328</v>
      </c>
      <c r="D116" s="12">
        <v>77.219499999999996</v>
      </c>
      <c r="E116" s="12" t="s">
        <v>11</v>
      </c>
      <c r="F116" s="12" t="s">
        <v>22</v>
      </c>
      <c r="G116" s="12">
        <v>38</v>
      </c>
      <c r="H116" s="12">
        <v>7.89</v>
      </c>
      <c r="I116" s="12" t="s">
        <v>16</v>
      </c>
      <c r="J116" s="12" t="s">
        <v>32</v>
      </c>
    </row>
    <row r="117" spans="1:10" ht="20.55" customHeight="1" x14ac:dyDescent="0.3">
      <c r="A117" s="11">
        <v>46283.924618055556</v>
      </c>
      <c r="B117" s="12" t="s">
        <v>23</v>
      </c>
      <c r="C117" s="12">
        <v>28.567599999999999</v>
      </c>
      <c r="D117" s="12">
        <v>77.209599999999995</v>
      </c>
      <c r="E117" s="12" t="s">
        <v>11</v>
      </c>
      <c r="F117" s="12" t="s">
        <v>15</v>
      </c>
      <c r="G117" s="12">
        <v>29</v>
      </c>
      <c r="H117" s="12">
        <v>10.34</v>
      </c>
      <c r="I117" s="12" t="s">
        <v>16</v>
      </c>
      <c r="J117" s="12" t="s">
        <v>14</v>
      </c>
    </row>
    <row r="118" spans="1:10" ht="20.55" customHeight="1" x14ac:dyDescent="0.3">
      <c r="A118" s="11">
        <v>46275.326631944437</v>
      </c>
      <c r="B118" s="12" t="s">
        <v>20</v>
      </c>
      <c r="C118" s="12">
        <v>28.571400000000001</v>
      </c>
      <c r="D118" s="12">
        <v>77.281300000000002</v>
      </c>
      <c r="E118" s="12" t="s">
        <v>19</v>
      </c>
      <c r="F118" s="12" t="s">
        <v>21</v>
      </c>
      <c r="G118" s="12">
        <v>62</v>
      </c>
      <c r="H118" s="12">
        <v>4.84</v>
      </c>
      <c r="I118" s="12" t="s">
        <v>16</v>
      </c>
      <c r="J118" s="12" t="s">
        <v>30</v>
      </c>
    </row>
    <row r="119" spans="1:10" ht="20.55" customHeight="1" x14ac:dyDescent="0.3">
      <c r="A119" s="11">
        <v>46272.412060185183</v>
      </c>
      <c r="B119" s="12" t="s">
        <v>25</v>
      </c>
      <c r="C119" s="12">
        <v>28.656199999999998</v>
      </c>
      <c r="D119" s="12">
        <v>77.231499999999997</v>
      </c>
      <c r="E119" s="12" t="s">
        <v>26</v>
      </c>
      <c r="F119" s="12" t="s">
        <v>21</v>
      </c>
      <c r="G119" s="12">
        <v>11</v>
      </c>
      <c r="H119" s="12">
        <v>27.27</v>
      </c>
      <c r="I119" s="12" t="s">
        <v>24</v>
      </c>
      <c r="J119" s="12" t="s">
        <v>30</v>
      </c>
    </row>
    <row r="120" spans="1:10" ht="20.55" customHeight="1" x14ac:dyDescent="0.3">
      <c r="A120" s="11">
        <v>46289.75377314815</v>
      </c>
      <c r="B120" s="12" t="s">
        <v>33</v>
      </c>
      <c r="C120" s="12">
        <v>28.632999999999999</v>
      </c>
      <c r="D120" s="12">
        <v>77.2196</v>
      </c>
      <c r="E120" s="12" t="s">
        <v>11</v>
      </c>
      <c r="F120" s="12" t="s">
        <v>12</v>
      </c>
      <c r="G120" s="12">
        <v>43</v>
      </c>
      <c r="H120" s="12">
        <v>6.98</v>
      </c>
      <c r="I120" s="12" t="s">
        <v>29</v>
      </c>
      <c r="J120" s="12" t="s">
        <v>14</v>
      </c>
    </row>
    <row r="121" spans="1:10" ht="20.55" customHeight="1" x14ac:dyDescent="0.3">
      <c r="A121" s="11">
        <v>46270.080405092587</v>
      </c>
      <c r="B121" s="12" t="s">
        <v>10</v>
      </c>
      <c r="C121" s="12">
        <v>28.545300000000001</v>
      </c>
      <c r="D121" s="12">
        <v>77.192499999999995</v>
      </c>
      <c r="E121" s="12" t="s">
        <v>11</v>
      </c>
      <c r="F121" s="12" t="s">
        <v>12</v>
      </c>
      <c r="G121" s="12">
        <v>23</v>
      </c>
      <c r="H121" s="12">
        <v>13.04</v>
      </c>
      <c r="I121" s="12" t="s">
        <v>16</v>
      </c>
      <c r="J121" s="12" t="s">
        <v>14</v>
      </c>
    </row>
    <row r="122" spans="1:10" ht="20.55" customHeight="1" x14ac:dyDescent="0.3">
      <c r="A122" s="11">
        <v>46271.829143518517</v>
      </c>
      <c r="B122" s="12" t="s">
        <v>18</v>
      </c>
      <c r="C122" s="12">
        <v>28.5562</v>
      </c>
      <c r="D122" s="12">
        <v>77.099999999999994</v>
      </c>
      <c r="E122" s="12" t="s">
        <v>19</v>
      </c>
      <c r="F122" s="12" t="s">
        <v>12</v>
      </c>
      <c r="G122" s="12">
        <v>75</v>
      </c>
      <c r="H122" s="12">
        <v>4</v>
      </c>
      <c r="I122" s="12" t="s">
        <v>29</v>
      </c>
      <c r="J122" s="12" t="s">
        <v>14</v>
      </c>
    </row>
    <row r="123" spans="1:10" ht="20.55" customHeight="1" x14ac:dyDescent="0.3">
      <c r="A123" s="11">
        <v>46281.738692129627</v>
      </c>
      <c r="B123" s="12" t="s">
        <v>18</v>
      </c>
      <c r="C123" s="12">
        <v>28.5562</v>
      </c>
      <c r="D123" s="12">
        <v>77.099999999999994</v>
      </c>
      <c r="E123" s="12" t="s">
        <v>19</v>
      </c>
      <c r="F123" s="12" t="s">
        <v>22</v>
      </c>
      <c r="G123" s="12">
        <v>87</v>
      </c>
      <c r="H123" s="12">
        <v>3.45</v>
      </c>
      <c r="I123" s="12" t="s">
        <v>29</v>
      </c>
      <c r="J123" s="12" t="s">
        <v>14</v>
      </c>
    </row>
    <row r="124" spans="1:10" ht="20.55" customHeight="1" x14ac:dyDescent="0.3">
      <c r="A124" s="11">
        <v>46288.587939814817</v>
      </c>
      <c r="B124" s="12" t="s">
        <v>10</v>
      </c>
      <c r="C124" s="12">
        <v>28.545300000000001</v>
      </c>
      <c r="D124" s="12">
        <v>77.192499999999995</v>
      </c>
      <c r="E124" s="12" t="s">
        <v>11</v>
      </c>
      <c r="F124" s="12" t="s">
        <v>21</v>
      </c>
      <c r="G124" s="12">
        <v>24</v>
      </c>
      <c r="H124" s="12">
        <v>12.5</v>
      </c>
      <c r="I124" s="12" t="s">
        <v>16</v>
      </c>
      <c r="J124" s="12" t="s">
        <v>30</v>
      </c>
    </row>
    <row r="125" spans="1:10" ht="20.55" customHeight="1" x14ac:dyDescent="0.3">
      <c r="A125" s="11">
        <v>46288.733668981477</v>
      </c>
      <c r="B125" s="12" t="s">
        <v>23</v>
      </c>
      <c r="C125" s="12">
        <v>28.567599999999999</v>
      </c>
      <c r="D125" s="12">
        <v>77.209599999999995</v>
      </c>
      <c r="E125" s="12" t="s">
        <v>11</v>
      </c>
      <c r="F125" s="12" t="s">
        <v>15</v>
      </c>
      <c r="G125" s="12">
        <v>23</v>
      </c>
      <c r="H125" s="12">
        <v>13.04</v>
      </c>
      <c r="I125" s="12" t="s">
        <v>16</v>
      </c>
      <c r="J125" s="12" t="s">
        <v>32</v>
      </c>
    </row>
    <row r="126" spans="1:10" ht="20.55" customHeight="1" x14ac:dyDescent="0.3">
      <c r="A126" s="11">
        <v>46269.643217592587</v>
      </c>
      <c r="B126" s="12" t="s">
        <v>28</v>
      </c>
      <c r="C126" s="12">
        <v>28.6129</v>
      </c>
      <c r="D126" s="12">
        <v>77.229500000000002</v>
      </c>
      <c r="E126" s="12" t="s">
        <v>11</v>
      </c>
      <c r="F126" s="12" t="s">
        <v>15</v>
      </c>
      <c r="G126" s="12">
        <v>34</v>
      </c>
      <c r="H126" s="12">
        <v>8.82</v>
      </c>
      <c r="I126" s="12" t="s">
        <v>16</v>
      </c>
      <c r="J126" s="12" t="s">
        <v>32</v>
      </c>
    </row>
    <row r="127" spans="1:10" ht="20.55" customHeight="1" x14ac:dyDescent="0.3">
      <c r="A127" s="11">
        <v>46269.351759259262</v>
      </c>
      <c r="B127" s="12" t="s">
        <v>20</v>
      </c>
      <c r="C127" s="12">
        <v>28.571400000000001</v>
      </c>
      <c r="D127" s="12">
        <v>77.281300000000002</v>
      </c>
      <c r="E127" s="12" t="s">
        <v>19</v>
      </c>
      <c r="F127" s="12" t="s">
        <v>12</v>
      </c>
      <c r="G127" s="12">
        <v>69</v>
      </c>
      <c r="H127" s="12">
        <v>4.3499999999999996</v>
      </c>
      <c r="I127" s="12" t="s">
        <v>16</v>
      </c>
      <c r="J127" s="12" t="s">
        <v>14</v>
      </c>
    </row>
    <row r="128" spans="1:10" ht="20.55" customHeight="1" x14ac:dyDescent="0.3">
      <c r="A128" s="11">
        <v>46292.814074074071</v>
      </c>
      <c r="B128" s="12" t="s">
        <v>25</v>
      </c>
      <c r="C128" s="12">
        <v>28.656199999999998</v>
      </c>
      <c r="D128" s="12">
        <v>77.231499999999997</v>
      </c>
      <c r="E128" s="12" t="s">
        <v>26</v>
      </c>
      <c r="F128" s="12" t="s">
        <v>22</v>
      </c>
      <c r="G128" s="12">
        <v>32</v>
      </c>
      <c r="H128" s="12">
        <v>9.3800000000000008</v>
      </c>
      <c r="I128" s="12" t="s">
        <v>29</v>
      </c>
      <c r="J128" s="12" t="s">
        <v>14</v>
      </c>
    </row>
    <row r="129" spans="1:10" ht="20.55" customHeight="1" x14ac:dyDescent="0.3">
      <c r="A129" s="11">
        <v>46287.422106481477</v>
      </c>
      <c r="B129" s="12" t="s">
        <v>18</v>
      </c>
      <c r="C129" s="12">
        <v>28.5562</v>
      </c>
      <c r="D129" s="12">
        <v>77.099999999999994</v>
      </c>
      <c r="E129" s="12" t="s">
        <v>19</v>
      </c>
      <c r="F129" s="12" t="s">
        <v>21</v>
      </c>
      <c r="G129" s="12">
        <v>72</v>
      </c>
      <c r="H129" s="12">
        <v>4.17</v>
      </c>
      <c r="I129" s="12" t="s">
        <v>29</v>
      </c>
      <c r="J129" s="12" t="s">
        <v>32</v>
      </c>
    </row>
    <row r="130" spans="1:10" ht="20.55" customHeight="1" x14ac:dyDescent="0.3">
      <c r="A130" s="11">
        <v>46277.804016203707</v>
      </c>
      <c r="B130" s="12" t="s">
        <v>20</v>
      </c>
      <c r="C130" s="12">
        <v>28.571400000000001</v>
      </c>
      <c r="D130" s="12">
        <v>77.281300000000002</v>
      </c>
      <c r="E130" s="12" t="s">
        <v>19</v>
      </c>
      <c r="F130" s="12" t="s">
        <v>12</v>
      </c>
      <c r="G130" s="12">
        <v>60</v>
      </c>
      <c r="H130" s="12">
        <v>5</v>
      </c>
      <c r="I130" s="12" t="s">
        <v>16</v>
      </c>
      <c r="J130" s="12" t="s">
        <v>14</v>
      </c>
    </row>
    <row r="131" spans="1:10" ht="20.55" customHeight="1" x14ac:dyDescent="0.3">
      <c r="A131" s="11">
        <v>46271.68341435185</v>
      </c>
      <c r="B131" s="12" t="s">
        <v>28</v>
      </c>
      <c r="C131" s="12">
        <v>28.6129</v>
      </c>
      <c r="D131" s="12">
        <v>77.229500000000002</v>
      </c>
      <c r="E131" s="12" t="s">
        <v>11</v>
      </c>
      <c r="F131" s="12" t="s">
        <v>22</v>
      </c>
      <c r="G131" s="12">
        <v>20</v>
      </c>
      <c r="H131" s="12">
        <v>15</v>
      </c>
      <c r="I131" s="12" t="s">
        <v>16</v>
      </c>
      <c r="J131" s="12" t="s">
        <v>30</v>
      </c>
    </row>
    <row r="132" spans="1:10" ht="20.55" customHeight="1" x14ac:dyDescent="0.3">
      <c r="A132" s="11">
        <v>46290.482407407413</v>
      </c>
      <c r="B132" s="12" t="s">
        <v>23</v>
      </c>
      <c r="C132" s="12">
        <v>28.567599999999999</v>
      </c>
      <c r="D132" s="12">
        <v>77.209599999999995</v>
      </c>
      <c r="E132" s="12" t="s">
        <v>11</v>
      </c>
      <c r="F132" s="12" t="s">
        <v>15</v>
      </c>
      <c r="G132" s="12">
        <v>32</v>
      </c>
      <c r="H132" s="12">
        <v>9.3800000000000008</v>
      </c>
      <c r="I132" s="12" t="s">
        <v>16</v>
      </c>
      <c r="J132" s="12" t="s">
        <v>14</v>
      </c>
    </row>
    <row r="133" spans="1:10" ht="20.55" customHeight="1" x14ac:dyDescent="0.3">
      <c r="A133" s="11">
        <v>46272.849247685182</v>
      </c>
      <c r="B133" s="12" t="s">
        <v>31</v>
      </c>
      <c r="C133" s="12">
        <v>28.6328</v>
      </c>
      <c r="D133" s="12">
        <v>77.219499999999996</v>
      </c>
      <c r="E133" s="12" t="s">
        <v>11</v>
      </c>
      <c r="F133" s="12" t="s">
        <v>22</v>
      </c>
      <c r="G133" s="12">
        <v>39</v>
      </c>
      <c r="H133" s="12">
        <v>7.69</v>
      </c>
      <c r="I133" s="12" t="s">
        <v>29</v>
      </c>
      <c r="J133" s="12" t="s">
        <v>14</v>
      </c>
    </row>
    <row r="134" spans="1:10" ht="20.55" customHeight="1" x14ac:dyDescent="0.3">
      <c r="A134" s="11">
        <v>46279.698495370372</v>
      </c>
      <c r="B134" s="12" t="s">
        <v>28</v>
      </c>
      <c r="C134" s="12">
        <v>28.6129</v>
      </c>
      <c r="D134" s="12">
        <v>77.229500000000002</v>
      </c>
      <c r="E134" s="12" t="s">
        <v>11</v>
      </c>
      <c r="F134" s="12" t="s">
        <v>12</v>
      </c>
      <c r="G134" s="12">
        <v>30</v>
      </c>
      <c r="H134" s="12">
        <v>10</v>
      </c>
      <c r="I134" s="12" t="s">
        <v>29</v>
      </c>
      <c r="J134" s="12" t="s">
        <v>14</v>
      </c>
    </row>
    <row r="135" spans="1:10" ht="20.55" customHeight="1" x14ac:dyDescent="0.3">
      <c r="A135" s="11">
        <v>46288.442210648151</v>
      </c>
      <c r="B135" s="12" t="s">
        <v>28</v>
      </c>
      <c r="C135" s="12">
        <v>28.6129</v>
      </c>
      <c r="D135" s="12">
        <v>77.229500000000002</v>
      </c>
      <c r="E135" s="12" t="s">
        <v>11</v>
      </c>
      <c r="F135" s="12" t="s">
        <v>15</v>
      </c>
      <c r="G135" s="12">
        <v>35</v>
      </c>
      <c r="H135" s="12">
        <v>8.57</v>
      </c>
      <c r="I135" s="12" t="s">
        <v>29</v>
      </c>
      <c r="J135" s="12" t="s">
        <v>14</v>
      </c>
    </row>
    <row r="136" spans="1:10" ht="20.55" customHeight="1" x14ac:dyDescent="0.3">
      <c r="A136" s="11">
        <v>46272.266331018523</v>
      </c>
      <c r="B136" s="12" t="s">
        <v>25</v>
      </c>
      <c r="C136" s="12">
        <v>28.656199999999998</v>
      </c>
      <c r="D136" s="12">
        <v>77.231499999999997</v>
      </c>
      <c r="E136" s="12" t="s">
        <v>26</v>
      </c>
      <c r="F136" s="12" t="s">
        <v>15</v>
      </c>
      <c r="G136" s="12">
        <v>6</v>
      </c>
      <c r="H136" s="12">
        <v>50</v>
      </c>
      <c r="I136" s="12" t="s">
        <v>24</v>
      </c>
      <c r="J136" s="12" t="s">
        <v>14</v>
      </c>
    </row>
    <row r="137" spans="1:10" ht="20.55" customHeight="1" x14ac:dyDescent="0.3">
      <c r="A137" s="11">
        <v>46286.110555555562</v>
      </c>
      <c r="B137" s="12" t="s">
        <v>33</v>
      </c>
      <c r="C137" s="12">
        <v>28.632999999999999</v>
      </c>
      <c r="D137" s="12">
        <v>77.2196</v>
      </c>
      <c r="E137" s="12" t="s">
        <v>11</v>
      </c>
      <c r="F137" s="12" t="s">
        <v>22</v>
      </c>
      <c r="G137" s="12">
        <v>19</v>
      </c>
      <c r="H137" s="12">
        <v>15.79</v>
      </c>
      <c r="I137" s="12" t="s">
        <v>24</v>
      </c>
      <c r="J137" s="12" t="s">
        <v>14</v>
      </c>
    </row>
    <row r="138" spans="1:10" ht="20.55" customHeight="1" x14ac:dyDescent="0.3">
      <c r="A138" s="11">
        <v>46266.4371875</v>
      </c>
      <c r="B138" s="12" t="s">
        <v>28</v>
      </c>
      <c r="C138" s="12">
        <v>28.6129</v>
      </c>
      <c r="D138" s="12">
        <v>77.229500000000002</v>
      </c>
      <c r="E138" s="12" t="s">
        <v>11</v>
      </c>
      <c r="F138" s="12" t="s">
        <v>22</v>
      </c>
      <c r="G138" s="12">
        <v>29</v>
      </c>
      <c r="H138" s="12">
        <v>10.34</v>
      </c>
      <c r="I138" s="12" t="s">
        <v>24</v>
      </c>
      <c r="J138" s="12" t="s">
        <v>14</v>
      </c>
    </row>
    <row r="139" spans="1:10" ht="20.55" customHeight="1" x14ac:dyDescent="0.3">
      <c r="A139" s="11">
        <v>46281.301504629628</v>
      </c>
      <c r="B139" s="12" t="s">
        <v>18</v>
      </c>
      <c r="C139" s="12">
        <v>28.5562</v>
      </c>
      <c r="D139" s="12">
        <v>77.099999999999994</v>
      </c>
      <c r="E139" s="12" t="s">
        <v>19</v>
      </c>
      <c r="F139" s="12" t="s">
        <v>22</v>
      </c>
      <c r="G139" s="12">
        <v>6</v>
      </c>
      <c r="H139" s="12">
        <v>50</v>
      </c>
      <c r="I139" s="12" t="s">
        <v>13</v>
      </c>
      <c r="J139" s="12" t="s">
        <v>14</v>
      </c>
    </row>
    <row r="140" spans="1:10" ht="20.55" customHeight="1" x14ac:dyDescent="0.3">
      <c r="A140" s="11">
        <v>46273.723622685182</v>
      </c>
      <c r="B140" s="12" t="s">
        <v>28</v>
      </c>
      <c r="C140" s="12">
        <v>28.6129</v>
      </c>
      <c r="D140" s="12">
        <v>77.229500000000002</v>
      </c>
      <c r="E140" s="12" t="s">
        <v>11</v>
      </c>
      <c r="F140" s="12" t="s">
        <v>21</v>
      </c>
      <c r="G140" s="12">
        <v>34</v>
      </c>
      <c r="H140" s="12">
        <v>8.82</v>
      </c>
      <c r="I140" s="12" t="s">
        <v>16</v>
      </c>
      <c r="J140" s="12" t="s">
        <v>30</v>
      </c>
    </row>
    <row r="141" spans="1:10" ht="20.55" customHeight="1" x14ac:dyDescent="0.3">
      <c r="A141" s="11">
        <v>46285.381909722222</v>
      </c>
      <c r="B141" s="12" t="s">
        <v>23</v>
      </c>
      <c r="C141" s="12">
        <v>28.567599999999999</v>
      </c>
      <c r="D141" s="12">
        <v>77.209599999999995</v>
      </c>
      <c r="E141" s="12" t="s">
        <v>11</v>
      </c>
      <c r="F141" s="12" t="s">
        <v>15</v>
      </c>
      <c r="G141" s="12">
        <v>25</v>
      </c>
      <c r="H141" s="12">
        <v>12</v>
      </c>
      <c r="I141" s="12" t="s">
        <v>24</v>
      </c>
      <c r="J141" s="12" t="s">
        <v>14</v>
      </c>
    </row>
    <row r="142" spans="1:10" ht="20.55" customHeight="1" x14ac:dyDescent="0.3">
      <c r="A142" s="11">
        <v>46292.231157407397</v>
      </c>
      <c r="B142" s="12" t="s">
        <v>28</v>
      </c>
      <c r="C142" s="12">
        <v>28.6129</v>
      </c>
      <c r="D142" s="12">
        <v>77.229500000000002</v>
      </c>
      <c r="E142" s="12" t="s">
        <v>11</v>
      </c>
      <c r="F142" s="12" t="s">
        <v>22</v>
      </c>
      <c r="G142" s="12">
        <v>37</v>
      </c>
      <c r="H142" s="12">
        <v>8.11</v>
      </c>
      <c r="I142" s="12" t="s">
        <v>16</v>
      </c>
      <c r="J142" s="12" t="s">
        <v>14</v>
      </c>
    </row>
    <row r="143" spans="1:10" ht="20.55" customHeight="1" x14ac:dyDescent="0.3">
      <c r="A143" s="11">
        <v>46291.939699074072</v>
      </c>
      <c r="B143" s="12" t="s">
        <v>23</v>
      </c>
      <c r="C143" s="12">
        <v>28.567599999999999</v>
      </c>
      <c r="D143" s="12">
        <v>77.209599999999995</v>
      </c>
      <c r="E143" s="12" t="s">
        <v>11</v>
      </c>
      <c r="F143" s="12" t="s">
        <v>12</v>
      </c>
      <c r="G143" s="12">
        <v>13</v>
      </c>
      <c r="H143" s="12">
        <v>23.08</v>
      </c>
      <c r="I143" s="12" t="s">
        <v>13</v>
      </c>
      <c r="J143" s="12" t="s">
        <v>32</v>
      </c>
    </row>
    <row r="144" spans="1:10" ht="20.55" customHeight="1" x14ac:dyDescent="0.3">
      <c r="A144" s="11">
        <v>46292.959803240738</v>
      </c>
      <c r="B144" s="12" t="s">
        <v>20</v>
      </c>
      <c r="C144" s="12">
        <v>28.571400000000001</v>
      </c>
      <c r="D144" s="12">
        <v>77.281300000000002</v>
      </c>
      <c r="E144" s="12" t="s">
        <v>19</v>
      </c>
      <c r="F144" s="12" t="s">
        <v>12</v>
      </c>
      <c r="G144" s="12">
        <v>49</v>
      </c>
      <c r="H144" s="12">
        <v>6.12</v>
      </c>
      <c r="I144" s="12" t="s">
        <v>24</v>
      </c>
      <c r="J144" s="12" t="s">
        <v>14</v>
      </c>
    </row>
    <row r="145" spans="1:10" ht="20.55" customHeight="1" x14ac:dyDescent="0.3">
      <c r="A145" s="11">
        <v>46273.140706018523</v>
      </c>
      <c r="B145" s="12" t="s">
        <v>25</v>
      </c>
      <c r="C145" s="12">
        <v>28.656199999999998</v>
      </c>
      <c r="D145" s="12">
        <v>77.231499999999997</v>
      </c>
      <c r="E145" s="12" t="s">
        <v>26</v>
      </c>
      <c r="F145" s="12" t="s">
        <v>27</v>
      </c>
      <c r="G145" s="12">
        <v>8</v>
      </c>
      <c r="H145" s="12">
        <v>37.5</v>
      </c>
      <c r="I145" s="12" t="s">
        <v>13</v>
      </c>
      <c r="J145" s="12" t="s">
        <v>14</v>
      </c>
    </row>
    <row r="146" spans="1:10" ht="20.55" customHeight="1" x14ac:dyDescent="0.3">
      <c r="A146" s="11">
        <v>46277.65828703704</v>
      </c>
      <c r="B146" s="12" t="s">
        <v>25</v>
      </c>
      <c r="C146" s="12">
        <v>28.656199999999998</v>
      </c>
      <c r="D146" s="12">
        <v>77.231499999999997</v>
      </c>
      <c r="E146" s="12" t="s">
        <v>26</v>
      </c>
      <c r="F146" s="12" t="s">
        <v>22</v>
      </c>
      <c r="G146" s="12">
        <v>3</v>
      </c>
      <c r="H146" s="12">
        <v>100</v>
      </c>
      <c r="I146" s="12" t="s">
        <v>13</v>
      </c>
      <c r="J146" s="12" t="s">
        <v>30</v>
      </c>
    </row>
    <row r="147" spans="1:10" ht="20.55" customHeight="1" x14ac:dyDescent="0.3">
      <c r="A147" s="11">
        <v>46270.954768518517</v>
      </c>
      <c r="B147" s="12" t="s">
        <v>10</v>
      </c>
      <c r="C147" s="12">
        <v>28.545300000000001</v>
      </c>
      <c r="D147" s="12">
        <v>77.192499999999995</v>
      </c>
      <c r="E147" s="12" t="s">
        <v>11</v>
      </c>
      <c r="F147" s="12" t="s">
        <v>22</v>
      </c>
      <c r="G147" s="12">
        <v>9</v>
      </c>
      <c r="H147" s="12">
        <v>33.33</v>
      </c>
      <c r="I147" s="12" t="s">
        <v>13</v>
      </c>
      <c r="J147" s="12" t="s">
        <v>14</v>
      </c>
    </row>
    <row r="148" spans="1:10" ht="20.55" customHeight="1" x14ac:dyDescent="0.3">
      <c r="A148" s="11">
        <v>46267.020104166673</v>
      </c>
      <c r="B148" s="12" t="s">
        <v>10</v>
      </c>
      <c r="C148" s="12">
        <v>28.545300000000001</v>
      </c>
      <c r="D148" s="12">
        <v>77.192499999999995</v>
      </c>
      <c r="E148" s="12" t="s">
        <v>11</v>
      </c>
      <c r="F148" s="12" t="s">
        <v>21</v>
      </c>
      <c r="G148" s="12">
        <v>24</v>
      </c>
      <c r="H148" s="12">
        <v>12.5</v>
      </c>
      <c r="I148" s="12" t="s">
        <v>24</v>
      </c>
      <c r="J148" s="12" t="s">
        <v>30</v>
      </c>
    </row>
    <row r="149" spans="1:10" ht="20.55" customHeight="1" x14ac:dyDescent="0.3">
      <c r="A149" s="11">
        <v>46282.030150462961</v>
      </c>
      <c r="B149" s="12" t="s">
        <v>18</v>
      </c>
      <c r="C149" s="12">
        <v>28.5562</v>
      </c>
      <c r="D149" s="12">
        <v>77.099999999999994</v>
      </c>
      <c r="E149" s="12" t="s">
        <v>19</v>
      </c>
      <c r="F149" s="12" t="s">
        <v>21</v>
      </c>
      <c r="G149" s="12">
        <v>73</v>
      </c>
      <c r="H149" s="12">
        <v>4.1100000000000003</v>
      </c>
      <c r="I149" s="12" t="s">
        <v>29</v>
      </c>
      <c r="J149" s="12" t="s">
        <v>30</v>
      </c>
    </row>
    <row r="150" spans="1:10" ht="20.55" customHeight="1" x14ac:dyDescent="0.3">
      <c r="A150" s="11">
        <v>46279.261307870373</v>
      </c>
      <c r="B150" s="12" t="s">
        <v>20</v>
      </c>
      <c r="C150" s="12">
        <v>28.571400000000001</v>
      </c>
      <c r="D150" s="12">
        <v>77.281300000000002</v>
      </c>
      <c r="E150" s="12" t="s">
        <v>19</v>
      </c>
      <c r="F150" s="12" t="s">
        <v>22</v>
      </c>
      <c r="G150" s="12">
        <v>45</v>
      </c>
      <c r="H150" s="12">
        <v>6.67</v>
      </c>
      <c r="I150" s="12" t="s">
        <v>16</v>
      </c>
      <c r="J150" s="12" t="s">
        <v>14</v>
      </c>
    </row>
    <row r="151" spans="1:10" ht="20.55" customHeight="1" x14ac:dyDescent="0.3">
      <c r="A151" s="11">
        <v>46278.09547453704</v>
      </c>
      <c r="B151" s="12" t="s">
        <v>31</v>
      </c>
      <c r="C151" s="12">
        <v>28.6328</v>
      </c>
      <c r="D151" s="12">
        <v>77.219499999999996</v>
      </c>
      <c r="E151" s="12" t="s">
        <v>11</v>
      </c>
      <c r="F151" s="12" t="s">
        <v>27</v>
      </c>
      <c r="G151" s="12">
        <v>20</v>
      </c>
      <c r="H151" s="12">
        <v>15</v>
      </c>
      <c r="I151" s="12" t="s">
        <v>24</v>
      </c>
      <c r="J151" s="12" t="s">
        <v>14</v>
      </c>
    </row>
    <row r="152" spans="1:10" ht="20.55" customHeight="1" x14ac:dyDescent="0.3">
      <c r="A152" s="11">
        <v>46291.648240740738</v>
      </c>
      <c r="B152" s="12" t="s">
        <v>20</v>
      </c>
      <c r="C152" s="12">
        <v>28.571400000000001</v>
      </c>
      <c r="D152" s="12">
        <v>77.281300000000002</v>
      </c>
      <c r="E152" s="12" t="s">
        <v>19</v>
      </c>
      <c r="F152" s="12" t="s">
        <v>15</v>
      </c>
      <c r="G152" s="12">
        <v>62</v>
      </c>
      <c r="H152" s="12">
        <v>4.84</v>
      </c>
      <c r="I152" s="12" t="s">
        <v>16</v>
      </c>
      <c r="J152" s="12" t="s">
        <v>14</v>
      </c>
    </row>
    <row r="153" spans="1:10" ht="20.55" customHeight="1" x14ac:dyDescent="0.3">
      <c r="A153" s="11">
        <v>46292.376886574071</v>
      </c>
      <c r="B153" s="12" t="s">
        <v>20</v>
      </c>
      <c r="C153" s="12">
        <v>28.571400000000001</v>
      </c>
      <c r="D153" s="12">
        <v>77.281300000000002</v>
      </c>
      <c r="E153" s="12" t="s">
        <v>19</v>
      </c>
      <c r="F153" s="12" t="s">
        <v>22</v>
      </c>
      <c r="G153" s="12">
        <v>47</v>
      </c>
      <c r="H153" s="12">
        <v>6.38</v>
      </c>
      <c r="I153" s="12" t="s">
        <v>16</v>
      </c>
      <c r="J153" s="12" t="s">
        <v>30</v>
      </c>
    </row>
    <row r="154" spans="1:10" ht="20.55" customHeight="1" x14ac:dyDescent="0.3">
      <c r="A154" s="11">
        <v>46278.969849537039</v>
      </c>
      <c r="B154" s="12" t="s">
        <v>25</v>
      </c>
      <c r="C154" s="12">
        <v>28.656199999999998</v>
      </c>
      <c r="D154" s="12">
        <v>77.231499999999997</v>
      </c>
      <c r="E154" s="12" t="s">
        <v>26</v>
      </c>
      <c r="F154" s="12" t="s">
        <v>21</v>
      </c>
      <c r="G154" s="12">
        <v>36</v>
      </c>
      <c r="H154" s="12">
        <v>8.33</v>
      </c>
      <c r="I154" s="12" t="s">
        <v>29</v>
      </c>
      <c r="J154" s="12" t="s">
        <v>14</v>
      </c>
    </row>
    <row r="155" spans="1:10" ht="20.55" customHeight="1" x14ac:dyDescent="0.3">
      <c r="A155" s="11">
        <v>46267.165833333333</v>
      </c>
      <c r="B155" s="12" t="s">
        <v>25</v>
      </c>
      <c r="C155" s="12">
        <v>28.656199999999998</v>
      </c>
      <c r="D155" s="12">
        <v>77.231499999999997</v>
      </c>
      <c r="E155" s="12" t="s">
        <v>26</v>
      </c>
      <c r="F155" s="12" t="s">
        <v>15</v>
      </c>
      <c r="G155" s="12">
        <v>19</v>
      </c>
      <c r="H155" s="12">
        <v>15.79</v>
      </c>
      <c r="I155" s="12" t="s">
        <v>16</v>
      </c>
      <c r="J155" s="12" t="s">
        <v>14</v>
      </c>
    </row>
    <row r="156" spans="1:10" ht="20.55" customHeight="1" x14ac:dyDescent="0.3">
      <c r="A156" s="11">
        <v>46267.894467592603</v>
      </c>
      <c r="B156" s="12" t="s">
        <v>28</v>
      </c>
      <c r="C156" s="12">
        <v>28.6129</v>
      </c>
      <c r="D156" s="12">
        <v>77.229500000000002</v>
      </c>
      <c r="E156" s="12" t="s">
        <v>11</v>
      </c>
      <c r="F156" s="12" t="s">
        <v>21</v>
      </c>
      <c r="G156" s="12">
        <v>21</v>
      </c>
      <c r="H156" s="12">
        <v>14.29</v>
      </c>
      <c r="I156" s="12" t="s">
        <v>16</v>
      </c>
      <c r="J156" s="12" t="s">
        <v>14</v>
      </c>
    </row>
    <row r="157" spans="1:10" ht="20.55" customHeight="1" x14ac:dyDescent="0.3">
      <c r="A157" s="11">
        <v>46274.597986111112</v>
      </c>
      <c r="B157" s="12" t="s">
        <v>33</v>
      </c>
      <c r="C157" s="12">
        <v>28.632999999999999</v>
      </c>
      <c r="D157" s="12">
        <v>77.2196</v>
      </c>
      <c r="E157" s="12" t="s">
        <v>11</v>
      </c>
      <c r="F157" s="12" t="s">
        <v>21</v>
      </c>
      <c r="G157" s="12">
        <v>32</v>
      </c>
      <c r="H157" s="12">
        <v>9.3800000000000008</v>
      </c>
      <c r="I157" s="12" t="s">
        <v>16</v>
      </c>
      <c r="J157" s="12" t="s">
        <v>14</v>
      </c>
    </row>
    <row r="158" spans="1:10" ht="20.55" customHeight="1" x14ac:dyDescent="0.3">
      <c r="A158" s="11">
        <v>46290.919594907413</v>
      </c>
      <c r="B158" s="12" t="s">
        <v>33</v>
      </c>
      <c r="C158" s="12">
        <v>28.632999999999999</v>
      </c>
      <c r="D158" s="12">
        <v>77.2196</v>
      </c>
      <c r="E158" s="12" t="s">
        <v>11</v>
      </c>
      <c r="F158" s="12" t="s">
        <v>12</v>
      </c>
      <c r="G158" s="12">
        <v>31</v>
      </c>
      <c r="H158" s="12">
        <v>9.68</v>
      </c>
      <c r="I158" s="12" t="s">
        <v>16</v>
      </c>
      <c r="J158" s="12" t="s">
        <v>30</v>
      </c>
    </row>
    <row r="159" spans="1:10" ht="20.55" customHeight="1" x14ac:dyDescent="0.3">
      <c r="A159" s="11">
        <v>46285.090451388889</v>
      </c>
      <c r="B159" s="12" t="s">
        <v>25</v>
      </c>
      <c r="C159" s="12">
        <v>28.656199999999998</v>
      </c>
      <c r="D159" s="12">
        <v>77.231499999999997</v>
      </c>
      <c r="E159" s="12" t="s">
        <v>26</v>
      </c>
      <c r="F159" s="12" t="s">
        <v>21</v>
      </c>
      <c r="G159" s="12">
        <v>7</v>
      </c>
      <c r="H159" s="12">
        <v>42.86</v>
      </c>
      <c r="I159" s="12" t="s">
        <v>13</v>
      </c>
      <c r="J159" s="12" t="s">
        <v>14</v>
      </c>
    </row>
    <row r="160" spans="1:10" ht="20.55" customHeight="1" x14ac:dyDescent="0.3">
      <c r="A160" s="11">
        <v>46268.477384259262</v>
      </c>
      <c r="B160" s="12" t="s">
        <v>33</v>
      </c>
      <c r="C160" s="12">
        <v>28.632999999999999</v>
      </c>
      <c r="D160" s="12">
        <v>77.2196</v>
      </c>
      <c r="E160" s="12" t="s">
        <v>11</v>
      </c>
      <c r="F160" s="12" t="s">
        <v>15</v>
      </c>
      <c r="G160" s="12">
        <v>10</v>
      </c>
      <c r="H160" s="12">
        <v>30</v>
      </c>
      <c r="I160" s="12" t="s">
        <v>13</v>
      </c>
      <c r="J160" s="12" t="s">
        <v>32</v>
      </c>
    </row>
    <row r="161" spans="1:10" ht="20.55" customHeight="1" x14ac:dyDescent="0.3">
      <c r="A161" s="11">
        <v>46276.492465277777</v>
      </c>
      <c r="B161" s="12" t="s">
        <v>23</v>
      </c>
      <c r="C161" s="12">
        <v>28.567599999999999</v>
      </c>
      <c r="D161" s="12">
        <v>77.209599999999995</v>
      </c>
      <c r="E161" s="12" t="s">
        <v>11</v>
      </c>
      <c r="F161" s="12" t="s">
        <v>22</v>
      </c>
      <c r="G161" s="12">
        <v>48</v>
      </c>
      <c r="H161" s="12">
        <v>6.25</v>
      </c>
      <c r="I161" s="12" t="s">
        <v>29</v>
      </c>
      <c r="J161" s="12" t="s">
        <v>32</v>
      </c>
    </row>
    <row r="162" spans="1:10" ht="20.55" customHeight="1" x14ac:dyDescent="0.3">
      <c r="A162" s="11">
        <v>46291.502511574072</v>
      </c>
      <c r="B162" s="12" t="s">
        <v>10</v>
      </c>
      <c r="C162" s="12">
        <v>28.545300000000001</v>
      </c>
      <c r="D162" s="12">
        <v>77.192499999999995</v>
      </c>
      <c r="E162" s="12" t="s">
        <v>11</v>
      </c>
      <c r="F162" s="12" t="s">
        <v>27</v>
      </c>
      <c r="G162" s="12">
        <v>17</v>
      </c>
      <c r="H162" s="12">
        <v>17.649999999999999</v>
      </c>
      <c r="I162" s="12" t="s">
        <v>24</v>
      </c>
      <c r="J162" s="12" t="s">
        <v>14</v>
      </c>
    </row>
    <row r="163" spans="1:10" ht="20.55" customHeight="1" x14ac:dyDescent="0.3">
      <c r="A163" s="11">
        <v>46285.527638888889</v>
      </c>
      <c r="B163" s="12" t="s">
        <v>28</v>
      </c>
      <c r="C163" s="12">
        <v>28.6129</v>
      </c>
      <c r="D163" s="12">
        <v>77.229500000000002</v>
      </c>
      <c r="E163" s="12" t="s">
        <v>11</v>
      </c>
      <c r="F163" s="12" t="s">
        <v>15</v>
      </c>
      <c r="G163" s="12">
        <v>37</v>
      </c>
      <c r="H163" s="12">
        <v>8.11</v>
      </c>
      <c r="I163" s="12" t="s">
        <v>16</v>
      </c>
      <c r="J163" s="12" t="s">
        <v>14</v>
      </c>
    </row>
    <row r="164" spans="1:10" ht="20.55" customHeight="1" x14ac:dyDescent="0.3">
      <c r="A164" s="11">
        <v>46290.336678240739</v>
      </c>
      <c r="B164" s="12" t="s">
        <v>10</v>
      </c>
      <c r="C164" s="12">
        <v>28.545300000000001</v>
      </c>
      <c r="D164" s="12">
        <v>77.192499999999995</v>
      </c>
      <c r="E164" s="12" t="s">
        <v>11</v>
      </c>
      <c r="F164" s="12" t="s">
        <v>21</v>
      </c>
      <c r="G164" s="12">
        <v>32</v>
      </c>
      <c r="H164" s="12">
        <v>9.3800000000000008</v>
      </c>
      <c r="I164" s="12" t="s">
        <v>16</v>
      </c>
      <c r="J164" s="12" t="s">
        <v>14</v>
      </c>
    </row>
    <row r="165" spans="1:10" ht="20.55" customHeight="1" x14ac:dyDescent="0.3">
      <c r="A165" s="11">
        <v>46292.668344907397</v>
      </c>
      <c r="B165" s="12" t="s">
        <v>10</v>
      </c>
      <c r="C165" s="12">
        <v>28.545300000000001</v>
      </c>
      <c r="D165" s="12">
        <v>77.192499999999995</v>
      </c>
      <c r="E165" s="12" t="s">
        <v>11</v>
      </c>
      <c r="F165" s="12" t="s">
        <v>22</v>
      </c>
      <c r="G165" s="12">
        <v>11</v>
      </c>
      <c r="H165" s="12">
        <v>27.27</v>
      </c>
      <c r="I165" s="12" t="s">
        <v>13</v>
      </c>
      <c r="J165" s="12" t="s">
        <v>14</v>
      </c>
    </row>
    <row r="166" spans="1:10" ht="20.55" customHeight="1" x14ac:dyDescent="0.3">
      <c r="A166" s="11">
        <v>46275.180902777778</v>
      </c>
      <c r="B166" s="12" t="s">
        <v>31</v>
      </c>
      <c r="C166" s="12">
        <v>28.6328</v>
      </c>
      <c r="D166" s="12">
        <v>77.219499999999996</v>
      </c>
      <c r="E166" s="12" t="s">
        <v>11</v>
      </c>
      <c r="F166" s="12" t="s">
        <v>21</v>
      </c>
      <c r="G166" s="12">
        <v>30</v>
      </c>
      <c r="H166" s="12">
        <v>10</v>
      </c>
      <c r="I166" s="12" t="s">
        <v>16</v>
      </c>
      <c r="J166" s="12" t="s">
        <v>14</v>
      </c>
    </row>
    <row r="167" spans="1:10" ht="20.55" customHeight="1" x14ac:dyDescent="0.3">
      <c r="A167" s="11">
        <v>46273.869351851848</v>
      </c>
      <c r="B167" s="12" t="s">
        <v>23</v>
      </c>
      <c r="C167" s="12">
        <v>28.567599999999999</v>
      </c>
      <c r="D167" s="12">
        <v>77.209599999999995</v>
      </c>
      <c r="E167" s="12" t="s">
        <v>11</v>
      </c>
      <c r="F167" s="12" t="s">
        <v>21</v>
      </c>
      <c r="G167" s="12">
        <v>29</v>
      </c>
      <c r="H167" s="12">
        <v>10.34</v>
      </c>
      <c r="I167" s="12" t="s">
        <v>16</v>
      </c>
      <c r="J167" s="12" t="s">
        <v>30</v>
      </c>
    </row>
    <row r="168" spans="1:10" ht="20.55" customHeight="1" x14ac:dyDescent="0.3">
      <c r="A168" s="11">
        <v>46281.592962962961</v>
      </c>
      <c r="B168" s="12" t="s">
        <v>18</v>
      </c>
      <c r="C168" s="12">
        <v>28.5562</v>
      </c>
      <c r="D168" s="12">
        <v>77.099999999999994</v>
      </c>
      <c r="E168" s="12" t="s">
        <v>19</v>
      </c>
      <c r="F168" s="12" t="s">
        <v>12</v>
      </c>
      <c r="G168" s="12">
        <v>46</v>
      </c>
      <c r="H168" s="12">
        <v>6.52</v>
      </c>
      <c r="I168" s="12" t="s">
        <v>16</v>
      </c>
      <c r="J168" s="12" t="s">
        <v>32</v>
      </c>
    </row>
    <row r="169" spans="1:10" ht="20.55" customHeight="1" x14ac:dyDescent="0.3">
      <c r="A169" s="11">
        <v>46273.286435185182</v>
      </c>
      <c r="B169" s="12" t="s">
        <v>33</v>
      </c>
      <c r="C169" s="12">
        <v>28.632999999999999</v>
      </c>
      <c r="D169" s="12">
        <v>77.2196</v>
      </c>
      <c r="E169" s="12" t="s">
        <v>11</v>
      </c>
      <c r="F169" s="12" t="s">
        <v>12</v>
      </c>
      <c r="G169" s="12">
        <v>13</v>
      </c>
      <c r="H169" s="12">
        <v>23.08</v>
      </c>
      <c r="I169" s="12" t="s">
        <v>24</v>
      </c>
      <c r="J169" s="12" t="s">
        <v>32</v>
      </c>
    </row>
    <row r="170" spans="1:10" ht="20.55" customHeight="1" x14ac:dyDescent="0.3">
      <c r="A170" s="11">
        <v>46294.5628125</v>
      </c>
      <c r="B170" s="12" t="s">
        <v>23</v>
      </c>
      <c r="C170" s="12">
        <v>28.567599999999999</v>
      </c>
      <c r="D170" s="12">
        <v>77.209599999999995</v>
      </c>
      <c r="E170" s="12" t="s">
        <v>11</v>
      </c>
      <c r="F170" s="12" t="s">
        <v>12</v>
      </c>
      <c r="G170" s="12">
        <v>40</v>
      </c>
      <c r="H170" s="12">
        <v>7.5</v>
      </c>
      <c r="I170" s="12" t="s">
        <v>16</v>
      </c>
      <c r="J170" s="12" t="s">
        <v>30</v>
      </c>
    </row>
    <row r="171" spans="1:10" ht="20.55" customHeight="1" x14ac:dyDescent="0.3">
      <c r="A171" s="11">
        <v>46274.452256944453</v>
      </c>
      <c r="B171" s="12" t="s">
        <v>23</v>
      </c>
      <c r="C171" s="12">
        <v>28.567599999999999</v>
      </c>
      <c r="D171" s="12">
        <v>77.209599999999995</v>
      </c>
      <c r="E171" s="12" t="s">
        <v>11</v>
      </c>
      <c r="F171" s="12" t="s">
        <v>21</v>
      </c>
      <c r="G171" s="12">
        <v>35</v>
      </c>
      <c r="H171" s="12">
        <v>8.57</v>
      </c>
      <c r="I171" s="12" t="s">
        <v>16</v>
      </c>
      <c r="J171" s="12" t="s">
        <v>14</v>
      </c>
    </row>
    <row r="172" spans="1:10" ht="20.55" customHeight="1" x14ac:dyDescent="0.3">
      <c r="A172" s="11">
        <v>46272.994976851849</v>
      </c>
      <c r="B172" s="12" t="s">
        <v>23</v>
      </c>
      <c r="C172" s="12">
        <v>28.567599999999999</v>
      </c>
      <c r="D172" s="12">
        <v>77.209599999999995</v>
      </c>
      <c r="E172" s="12" t="s">
        <v>11</v>
      </c>
      <c r="F172" s="12" t="s">
        <v>12</v>
      </c>
      <c r="G172" s="12">
        <v>23</v>
      </c>
      <c r="H172" s="12">
        <v>13.04</v>
      </c>
      <c r="I172" s="12" t="s">
        <v>16</v>
      </c>
      <c r="J172" s="12" t="s">
        <v>17</v>
      </c>
    </row>
    <row r="173" spans="1:10" ht="20.55" customHeight="1" x14ac:dyDescent="0.3">
      <c r="A173" s="11">
        <v>46278.824120370373</v>
      </c>
      <c r="B173" s="12" t="s">
        <v>33</v>
      </c>
      <c r="C173" s="12">
        <v>28.632999999999999</v>
      </c>
      <c r="D173" s="12">
        <v>77.2196</v>
      </c>
      <c r="E173" s="12" t="s">
        <v>11</v>
      </c>
      <c r="F173" s="12" t="s">
        <v>15</v>
      </c>
      <c r="G173" s="12">
        <v>47</v>
      </c>
      <c r="H173" s="12">
        <v>6.38</v>
      </c>
      <c r="I173" s="12" t="s">
        <v>29</v>
      </c>
      <c r="J173" s="12" t="s">
        <v>32</v>
      </c>
    </row>
    <row r="174" spans="1:10" ht="20.55" customHeight="1" x14ac:dyDescent="0.3">
      <c r="A174" s="11">
        <v>46269.060300925928</v>
      </c>
      <c r="B174" s="12" t="s">
        <v>25</v>
      </c>
      <c r="C174" s="12">
        <v>28.656199999999998</v>
      </c>
      <c r="D174" s="12">
        <v>77.231499999999997</v>
      </c>
      <c r="E174" s="12" t="s">
        <v>26</v>
      </c>
      <c r="F174" s="12" t="s">
        <v>27</v>
      </c>
      <c r="G174" s="12">
        <v>20</v>
      </c>
      <c r="H174" s="12">
        <v>15</v>
      </c>
      <c r="I174" s="12" t="s">
        <v>16</v>
      </c>
      <c r="J174" s="12" t="s">
        <v>14</v>
      </c>
    </row>
    <row r="175" spans="1:10" ht="20.55" customHeight="1" x14ac:dyDescent="0.3">
      <c r="A175" s="11">
        <v>46274.306527777779</v>
      </c>
      <c r="B175" s="12" t="s">
        <v>10</v>
      </c>
      <c r="C175" s="12">
        <v>28.545300000000001</v>
      </c>
      <c r="D175" s="12">
        <v>77.192499999999995</v>
      </c>
      <c r="E175" s="12" t="s">
        <v>11</v>
      </c>
      <c r="F175" s="12" t="s">
        <v>27</v>
      </c>
      <c r="G175" s="12">
        <v>14</v>
      </c>
      <c r="H175" s="12">
        <v>21.43</v>
      </c>
      <c r="I175" s="12" t="s">
        <v>24</v>
      </c>
      <c r="J175" s="12" t="s">
        <v>14</v>
      </c>
    </row>
    <row r="176" spans="1:10" ht="20.55" customHeight="1" x14ac:dyDescent="0.3">
      <c r="A176" s="11">
        <v>46289.31658564815</v>
      </c>
      <c r="B176" s="12" t="s">
        <v>23</v>
      </c>
      <c r="C176" s="12">
        <v>28.567599999999999</v>
      </c>
      <c r="D176" s="12">
        <v>77.209599999999995</v>
      </c>
      <c r="E176" s="12" t="s">
        <v>11</v>
      </c>
      <c r="F176" s="12" t="s">
        <v>21</v>
      </c>
      <c r="G176" s="12">
        <v>38</v>
      </c>
      <c r="H176" s="12">
        <v>7.89</v>
      </c>
      <c r="I176" s="12" t="s">
        <v>16</v>
      </c>
      <c r="J176" s="12" t="s">
        <v>14</v>
      </c>
    </row>
    <row r="177" spans="1:10" ht="20.55" customHeight="1" x14ac:dyDescent="0.3">
      <c r="A177" s="11">
        <v>46293.979895833327</v>
      </c>
      <c r="B177" s="12" t="s">
        <v>25</v>
      </c>
      <c r="C177" s="12">
        <v>28.656199999999998</v>
      </c>
      <c r="D177" s="12">
        <v>77.231499999999997</v>
      </c>
      <c r="E177" s="12" t="s">
        <v>26</v>
      </c>
      <c r="F177" s="12" t="s">
        <v>21</v>
      </c>
      <c r="G177" s="12">
        <v>16</v>
      </c>
      <c r="H177" s="12">
        <v>18.75</v>
      </c>
      <c r="I177" s="12" t="s">
        <v>16</v>
      </c>
      <c r="J177" s="12" t="s">
        <v>14</v>
      </c>
    </row>
    <row r="178" spans="1:10" ht="20.55" customHeight="1" x14ac:dyDescent="0.3">
      <c r="A178" s="11">
        <v>46284.798993055563</v>
      </c>
      <c r="B178" s="12" t="s">
        <v>28</v>
      </c>
      <c r="C178" s="12">
        <v>28.6129</v>
      </c>
      <c r="D178" s="12">
        <v>77.229500000000002</v>
      </c>
      <c r="E178" s="12" t="s">
        <v>11</v>
      </c>
      <c r="F178" s="12" t="s">
        <v>21</v>
      </c>
      <c r="G178" s="12">
        <v>38</v>
      </c>
      <c r="H178" s="12">
        <v>7.89</v>
      </c>
      <c r="I178" s="12" t="s">
        <v>29</v>
      </c>
      <c r="J178" s="12" t="s">
        <v>14</v>
      </c>
    </row>
    <row r="179" spans="1:10" ht="20.55" customHeight="1" x14ac:dyDescent="0.3">
      <c r="A179" s="11">
        <v>46271.391956018517</v>
      </c>
      <c r="B179" s="12" t="s">
        <v>18</v>
      </c>
      <c r="C179" s="12">
        <v>28.5562</v>
      </c>
      <c r="D179" s="12">
        <v>77.099999999999994</v>
      </c>
      <c r="E179" s="12" t="s">
        <v>19</v>
      </c>
      <c r="F179" s="12" t="s">
        <v>15</v>
      </c>
      <c r="G179" s="12">
        <v>69</v>
      </c>
      <c r="H179" s="12">
        <v>4.3499999999999996</v>
      </c>
      <c r="I179" s="12" t="s">
        <v>29</v>
      </c>
      <c r="J179" s="12" t="s">
        <v>14</v>
      </c>
    </row>
    <row r="180" spans="1:10" ht="20.55" customHeight="1" x14ac:dyDescent="0.3">
      <c r="A180" s="11">
        <v>46288.87939814815</v>
      </c>
      <c r="B180" s="12" t="s">
        <v>20</v>
      </c>
      <c r="C180" s="12">
        <v>28.571400000000001</v>
      </c>
      <c r="D180" s="12">
        <v>77.281300000000002</v>
      </c>
      <c r="E180" s="12" t="s">
        <v>19</v>
      </c>
      <c r="F180" s="12" t="s">
        <v>21</v>
      </c>
      <c r="G180" s="12">
        <v>50</v>
      </c>
      <c r="H180" s="12">
        <v>6</v>
      </c>
      <c r="I180" s="12" t="s">
        <v>16</v>
      </c>
      <c r="J180" s="12" t="s">
        <v>30</v>
      </c>
    </row>
    <row r="181" spans="1:10" ht="20.55" customHeight="1" x14ac:dyDescent="0.3">
      <c r="A181" s="11">
        <v>46294.125625000001</v>
      </c>
      <c r="B181" s="12" t="s">
        <v>20</v>
      </c>
      <c r="C181" s="12">
        <v>28.571400000000001</v>
      </c>
      <c r="D181" s="12">
        <v>77.281300000000002</v>
      </c>
      <c r="E181" s="12" t="s">
        <v>19</v>
      </c>
      <c r="F181" s="12" t="s">
        <v>27</v>
      </c>
      <c r="G181" s="12">
        <v>41</v>
      </c>
      <c r="H181" s="12">
        <v>7.32</v>
      </c>
      <c r="I181" s="12" t="s">
        <v>16</v>
      </c>
      <c r="J181" s="12" t="s">
        <v>14</v>
      </c>
    </row>
    <row r="182" spans="1:10" ht="20.55" customHeight="1" x14ac:dyDescent="0.3">
      <c r="A182" s="11">
        <v>46266.145729166667</v>
      </c>
      <c r="B182" s="12" t="s">
        <v>33</v>
      </c>
      <c r="C182" s="12">
        <v>28.632999999999999</v>
      </c>
      <c r="D182" s="12">
        <v>77.2196</v>
      </c>
      <c r="E182" s="12" t="s">
        <v>11</v>
      </c>
      <c r="F182" s="12" t="s">
        <v>27</v>
      </c>
      <c r="G182" s="12">
        <v>29</v>
      </c>
      <c r="H182" s="12">
        <v>10.34</v>
      </c>
      <c r="I182" s="12" t="s">
        <v>16</v>
      </c>
      <c r="J182" s="12" t="s">
        <v>14</v>
      </c>
    </row>
    <row r="183" spans="1:10" ht="20.55" customHeight="1" x14ac:dyDescent="0.3">
      <c r="A183" s="11">
        <v>46273.577893518523</v>
      </c>
      <c r="B183" s="12" t="s">
        <v>23</v>
      </c>
      <c r="C183" s="12">
        <v>28.567599999999999</v>
      </c>
      <c r="D183" s="12">
        <v>77.209599999999995</v>
      </c>
      <c r="E183" s="12" t="s">
        <v>11</v>
      </c>
      <c r="F183" s="12" t="s">
        <v>21</v>
      </c>
      <c r="G183" s="12">
        <v>40</v>
      </c>
      <c r="H183" s="12">
        <v>7.5</v>
      </c>
      <c r="I183" s="12" t="s">
        <v>16</v>
      </c>
      <c r="J183" s="12" t="s">
        <v>14</v>
      </c>
    </row>
    <row r="184" spans="1:10" ht="20.55" customHeight="1" x14ac:dyDescent="0.3">
      <c r="A184" s="11">
        <v>46287.713564814818</v>
      </c>
      <c r="B184" s="12" t="s">
        <v>33</v>
      </c>
      <c r="C184" s="12">
        <v>28.632999999999999</v>
      </c>
      <c r="D184" s="12">
        <v>77.2196</v>
      </c>
      <c r="E184" s="12" t="s">
        <v>11</v>
      </c>
      <c r="F184" s="12" t="s">
        <v>21</v>
      </c>
      <c r="G184" s="12">
        <v>50</v>
      </c>
      <c r="H184" s="12">
        <v>6</v>
      </c>
      <c r="I184" s="12" t="s">
        <v>29</v>
      </c>
      <c r="J184" s="12" t="s">
        <v>14</v>
      </c>
    </row>
    <row r="185" spans="1:10" ht="20.55" customHeight="1" x14ac:dyDescent="0.3">
      <c r="A185" s="11">
        <v>46284.944722222222</v>
      </c>
      <c r="B185" s="12" t="s">
        <v>23</v>
      </c>
      <c r="C185" s="12">
        <v>28.567599999999999</v>
      </c>
      <c r="D185" s="12">
        <v>77.209599999999995</v>
      </c>
      <c r="E185" s="12" t="s">
        <v>11</v>
      </c>
      <c r="F185" s="12" t="s">
        <v>27</v>
      </c>
      <c r="G185" s="12">
        <v>10</v>
      </c>
      <c r="H185" s="12">
        <v>30</v>
      </c>
      <c r="I185" s="12" t="s">
        <v>13</v>
      </c>
      <c r="J185" s="12" t="s">
        <v>14</v>
      </c>
    </row>
    <row r="186" spans="1:10" ht="20.55" customHeight="1" x14ac:dyDescent="0.3">
      <c r="A186" s="11">
        <v>46288.005023148151</v>
      </c>
      <c r="B186" s="12" t="s">
        <v>31</v>
      </c>
      <c r="C186" s="12">
        <v>28.6328</v>
      </c>
      <c r="D186" s="12">
        <v>77.219499999999996</v>
      </c>
      <c r="E186" s="12" t="s">
        <v>11</v>
      </c>
      <c r="F186" s="12" t="s">
        <v>22</v>
      </c>
      <c r="G186" s="12">
        <v>38</v>
      </c>
      <c r="H186" s="12">
        <v>7.89</v>
      </c>
      <c r="I186" s="12" t="s">
        <v>29</v>
      </c>
      <c r="J186" s="12" t="s">
        <v>14</v>
      </c>
    </row>
    <row r="187" spans="1:10" ht="20.55" customHeight="1" x14ac:dyDescent="0.3">
      <c r="A187" s="11">
        <v>46281.010046296287</v>
      </c>
      <c r="B187" s="12" t="s">
        <v>18</v>
      </c>
      <c r="C187" s="12">
        <v>28.5562</v>
      </c>
      <c r="D187" s="12">
        <v>77.099999999999994</v>
      </c>
      <c r="E187" s="12" t="s">
        <v>19</v>
      </c>
      <c r="F187" s="12" t="s">
        <v>15</v>
      </c>
      <c r="G187" s="12">
        <v>40</v>
      </c>
      <c r="H187" s="12">
        <v>7.5</v>
      </c>
      <c r="I187" s="12" t="s">
        <v>16</v>
      </c>
      <c r="J187" s="12" t="s">
        <v>17</v>
      </c>
    </row>
    <row r="188" spans="1:10" ht="20.55" customHeight="1" x14ac:dyDescent="0.3">
      <c r="A188" s="11">
        <v>46280.427141203712</v>
      </c>
      <c r="B188" s="12" t="s">
        <v>20</v>
      </c>
      <c r="C188" s="12">
        <v>28.571400000000001</v>
      </c>
      <c r="D188" s="12">
        <v>77.281300000000002</v>
      </c>
      <c r="E188" s="12" t="s">
        <v>19</v>
      </c>
      <c r="F188" s="12" t="s">
        <v>21</v>
      </c>
      <c r="G188" s="12">
        <v>69</v>
      </c>
      <c r="H188" s="12">
        <v>4.3499999999999996</v>
      </c>
      <c r="I188" s="12" t="s">
        <v>16</v>
      </c>
      <c r="J188" s="12" t="s">
        <v>14</v>
      </c>
    </row>
    <row r="189" spans="1:10" ht="20.55" customHeight="1" x14ac:dyDescent="0.3">
      <c r="A189" s="11">
        <v>46282.90452546296</v>
      </c>
      <c r="B189" s="12" t="s">
        <v>23</v>
      </c>
      <c r="C189" s="12">
        <v>28.567599999999999</v>
      </c>
      <c r="D189" s="12">
        <v>77.209599999999995</v>
      </c>
      <c r="E189" s="12" t="s">
        <v>11</v>
      </c>
      <c r="F189" s="12" t="s">
        <v>21</v>
      </c>
      <c r="G189" s="12">
        <v>25</v>
      </c>
      <c r="H189" s="12">
        <v>12</v>
      </c>
      <c r="I189" s="12" t="s">
        <v>16</v>
      </c>
      <c r="J189" s="12" t="s">
        <v>14</v>
      </c>
    </row>
    <row r="190" spans="1:10" ht="20.55" customHeight="1" x14ac:dyDescent="0.3">
      <c r="A190" s="11">
        <v>46278.678391203714</v>
      </c>
      <c r="B190" s="12" t="s">
        <v>18</v>
      </c>
      <c r="C190" s="12">
        <v>28.5562</v>
      </c>
      <c r="D190" s="12">
        <v>77.099999999999994</v>
      </c>
      <c r="E190" s="12" t="s">
        <v>19</v>
      </c>
      <c r="F190" s="12" t="s">
        <v>15</v>
      </c>
      <c r="G190" s="12">
        <v>6</v>
      </c>
      <c r="H190" s="12">
        <v>50</v>
      </c>
      <c r="I190" s="12" t="s">
        <v>13</v>
      </c>
      <c r="J190" s="12" t="s">
        <v>14</v>
      </c>
    </row>
    <row r="191" spans="1:10" ht="20.55" customHeight="1" x14ac:dyDescent="0.3">
      <c r="A191" s="11">
        <v>46276.78392361111</v>
      </c>
      <c r="B191" s="12" t="s">
        <v>28</v>
      </c>
      <c r="C191" s="12">
        <v>28.6129</v>
      </c>
      <c r="D191" s="12">
        <v>77.229500000000002</v>
      </c>
      <c r="E191" s="12" t="s">
        <v>11</v>
      </c>
      <c r="F191" s="12" t="s">
        <v>22</v>
      </c>
      <c r="G191" s="12">
        <v>28</v>
      </c>
      <c r="H191" s="12">
        <v>10.71</v>
      </c>
      <c r="I191" s="12" t="s">
        <v>16</v>
      </c>
      <c r="J191" s="12" t="s">
        <v>30</v>
      </c>
    </row>
    <row r="192" spans="1:10" ht="20.55" customHeight="1" x14ac:dyDescent="0.3">
      <c r="A192" s="11">
        <v>46283.633171296293</v>
      </c>
      <c r="B192" s="12" t="s">
        <v>28</v>
      </c>
      <c r="C192" s="12">
        <v>28.6129</v>
      </c>
      <c r="D192" s="12">
        <v>77.229500000000002</v>
      </c>
      <c r="E192" s="12" t="s">
        <v>11</v>
      </c>
      <c r="F192" s="12" t="s">
        <v>27</v>
      </c>
      <c r="G192" s="12">
        <v>34</v>
      </c>
      <c r="H192" s="12">
        <v>8.82</v>
      </c>
      <c r="I192" s="12" t="s">
        <v>29</v>
      </c>
      <c r="J192" s="12" t="s">
        <v>14</v>
      </c>
    </row>
    <row r="193" spans="1:10" ht="20.55" customHeight="1" x14ac:dyDescent="0.3">
      <c r="A193" s="11">
        <v>46295</v>
      </c>
      <c r="B193" s="12" t="s">
        <v>20</v>
      </c>
      <c r="C193" s="12">
        <v>28.571400000000001</v>
      </c>
      <c r="D193" s="12">
        <v>77.281300000000002</v>
      </c>
      <c r="E193" s="12" t="s">
        <v>19</v>
      </c>
      <c r="F193" s="12" t="s">
        <v>21</v>
      </c>
      <c r="G193" s="12">
        <v>42</v>
      </c>
      <c r="H193" s="12">
        <v>7.14</v>
      </c>
      <c r="I193" s="12" t="s">
        <v>16</v>
      </c>
      <c r="J193" s="12" t="s">
        <v>30</v>
      </c>
    </row>
    <row r="194" spans="1:10" ht="20.55" customHeight="1" x14ac:dyDescent="0.3">
      <c r="A194" s="11">
        <v>46268.914571759262</v>
      </c>
      <c r="B194" s="12" t="s">
        <v>20</v>
      </c>
      <c r="C194" s="12">
        <v>28.571400000000001</v>
      </c>
      <c r="D194" s="12">
        <v>77.281300000000002</v>
      </c>
      <c r="E194" s="12" t="s">
        <v>19</v>
      </c>
      <c r="F194" s="12" t="s">
        <v>12</v>
      </c>
      <c r="G194" s="12">
        <v>38</v>
      </c>
      <c r="H194" s="12">
        <v>7.89</v>
      </c>
      <c r="I194" s="12" t="s">
        <v>24</v>
      </c>
      <c r="J194" s="12" t="s">
        <v>14</v>
      </c>
    </row>
    <row r="195" spans="1:10" ht="20.55" customHeight="1" x14ac:dyDescent="0.3">
      <c r="A195" s="11">
        <v>46293.396979166668</v>
      </c>
      <c r="B195" s="12" t="s">
        <v>18</v>
      </c>
      <c r="C195" s="12">
        <v>28.5562</v>
      </c>
      <c r="D195" s="12">
        <v>77.099999999999994</v>
      </c>
      <c r="E195" s="12" t="s">
        <v>19</v>
      </c>
      <c r="F195" s="12" t="s">
        <v>22</v>
      </c>
      <c r="G195" s="12">
        <v>15</v>
      </c>
      <c r="H195" s="12">
        <v>20</v>
      </c>
      <c r="I195" s="12" t="s">
        <v>13</v>
      </c>
      <c r="J195" s="12" t="s">
        <v>14</v>
      </c>
    </row>
    <row r="196" spans="1:10" ht="20.55" customHeight="1" x14ac:dyDescent="0.3">
      <c r="A196" s="11">
        <v>46276.346736111111</v>
      </c>
      <c r="B196" s="12" t="s">
        <v>23</v>
      </c>
      <c r="C196" s="12">
        <v>28.567599999999999</v>
      </c>
      <c r="D196" s="12">
        <v>77.209599999999995</v>
      </c>
      <c r="E196" s="12" t="s">
        <v>11</v>
      </c>
      <c r="F196" s="12" t="s">
        <v>15</v>
      </c>
      <c r="G196" s="12">
        <v>17</v>
      </c>
      <c r="H196" s="12">
        <v>17.649999999999999</v>
      </c>
      <c r="I196" s="12" t="s">
        <v>24</v>
      </c>
      <c r="J196" s="12" t="s">
        <v>14</v>
      </c>
    </row>
    <row r="197" spans="1:10" ht="20.55" customHeight="1" x14ac:dyDescent="0.3">
      <c r="A197" s="11">
        <v>46281.447233796287</v>
      </c>
      <c r="B197" s="12" t="s">
        <v>33</v>
      </c>
      <c r="C197" s="12">
        <v>28.632999999999999</v>
      </c>
      <c r="D197" s="12">
        <v>77.2196</v>
      </c>
      <c r="E197" s="12" t="s">
        <v>11</v>
      </c>
      <c r="F197" s="12" t="s">
        <v>22</v>
      </c>
      <c r="G197" s="12">
        <v>14</v>
      </c>
      <c r="H197" s="12">
        <v>21.43</v>
      </c>
      <c r="I197" s="12" t="s">
        <v>24</v>
      </c>
      <c r="J197" s="12" t="s">
        <v>14</v>
      </c>
    </row>
    <row r="198" spans="1:10" ht="20.55" customHeight="1" x14ac:dyDescent="0.3">
      <c r="A198" s="11">
        <v>46268.040196759262</v>
      </c>
      <c r="B198" s="12" t="s">
        <v>23</v>
      </c>
      <c r="C198" s="12">
        <v>28.567599999999999</v>
      </c>
      <c r="D198" s="12">
        <v>77.209599999999995</v>
      </c>
      <c r="E198" s="12" t="s">
        <v>11</v>
      </c>
      <c r="F198" s="12" t="s">
        <v>27</v>
      </c>
      <c r="G198" s="12">
        <v>9</v>
      </c>
      <c r="H198" s="12">
        <v>33.33</v>
      </c>
      <c r="I198" s="12" t="s">
        <v>13</v>
      </c>
      <c r="J198" s="12" t="s">
        <v>14</v>
      </c>
    </row>
    <row r="199" spans="1:10" ht="20.55" customHeight="1" x14ac:dyDescent="0.3">
      <c r="A199" s="11">
        <v>46279.407037037039</v>
      </c>
      <c r="B199" s="12" t="s">
        <v>33</v>
      </c>
      <c r="C199" s="12">
        <v>28.632999999999999</v>
      </c>
      <c r="D199" s="12">
        <v>77.2196</v>
      </c>
      <c r="E199" s="12" t="s">
        <v>11</v>
      </c>
      <c r="F199" s="12" t="s">
        <v>22</v>
      </c>
      <c r="G199" s="12">
        <v>18</v>
      </c>
      <c r="H199" s="12">
        <v>16.670000000000002</v>
      </c>
      <c r="I199" s="12" t="s">
        <v>24</v>
      </c>
      <c r="J199" s="12" t="s">
        <v>14</v>
      </c>
    </row>
    <row r="200" spans="1:10" ht="20.55" customHeight="1" x14ac:dyDescent="0.3">
      <c r="A200" s="11">
        <v>46292.085428240738</v>
      </c>
      <c r="B200" s="12" t="s">
        <v>31</v>
      </c>
      <c r="C200" s="12">
        <v>28.6328</v>
      </c>
      <c r="D200" s="12">
        <v>77.219499999999996</v>
      </c>
      <c r="E200" s="12" t="s">
        <v>11</v>
      </c>
      <c r="F200" s="12" t="s">
        <v>12</v>
      </c>
      <c r="G200" s="12">
        <v>8</v>
      </c>
      <c r="H200" s="12">
        <v>37.5</v>
      </c>
      <c r="I200" s="12" t="s">
        <v>13</v>
      </c>
      <c r="J200" s="12" t="s">
        <v>14</v>
      </c>
    </row>
    <row r="201" spans="1:10" ht="20.55" customHeight="1" x14ac:dyDescent="0.3">
      <c r="A201" s="11">
        <v>46280.864317129628</v>
      </c>
      <c r="B201" s="12" t="s">
        <v>10</v>
      </c>
      <c r="C201" s="12">
        <v>28.545300000000001</v>
      </c>
      <c r="D201" s="12">
        <v>77.192499999999995</v>
      </c>
      <c r="E201" s="12" t="s">
        <v>11</v>
      </c>
      <c r="F201" s="12" t="s">
        <v>12</v>
      </c>
      <c r="G201" s="12">
        <v>25</v>
      </c>
      <c r="H201" s="12">
        <v>12</v>
      </c>
      <c r="I201" s="12" t="s">
        <v>16</v>
      </c>
      <c r="J201" s="12" t="s">
        <v>32</v>
      </c>
    </row>
  </sheetData>
  <conditionalFormatting sqref="I1">
    <cfRule type="containsText" dxfId="7" priority="5" operator="containsText" text="low">
      <formula>NOT(ISERROR(SEARCH("low",I1)))</formula>
    </cfRule>
    <cfRule type="containsText" dxfId="6" priority="6" operator="containsText" text="medium">
      <formula>NOT(ISERROR(SEARCH("medium",I1)))</formula>
    </cfRule>
    <cfRule type="containsText" dxfId="5" priority="7" operator="containsText" text="high">
      <formula>NOT(ISERROR(SEARCH("high",I1)))</formula>
    </cfRule>
    <cfRule type="containsText" dxfId="4" priority="8" operator="containsText" text="Congested">
      <formula>NOT(ISERROR(SEARCH("Congested",I1)))</formula>
    </cfRule>
  </conditionalFormatting>
  <conditionalFormatting sqref="I2:I201">
    <cfRule type="cellIs" dxfId="3" priority="1" operator="equal">
      <formula>"low"</formula>
    </cfRule>
    <cfRule type="cellIs" dxfId="2" priority="2" operator="equal">
      <formula>"medium"</formula>
    </cfRule>
    <cfRule type="containsText" dxfId="1" priority="3" operator="containsText" text="high">
      <formula>NOT(ISERROR(SEARCH("high",I2)))</formula>
    </cfRule>
    <cfRule type="containsText" dxfId="0" priority="4" operator="containsText" text="Congested">
      <formula>NOT(ISERROR(SEARCH("Congested",I2)))</formula>
    </cfRule>
  </conditionalFormatting>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D79CD-1A27-4CE8-A3EB-F4E1B6EECE0B}">
  <dimension ref="A1:S11"/>
  <sheetViews>
    <sheetView topLeftCell="G1" zoomScale="141" zoomScaleNormal="193" workbookViewId="0">
      <selection activeCell="D7" sqref="D7"/>
    </sheetView>
  </sheetViews>
  <sheetFormatPr defaultRowHeight="14.4" x14ac:dyDescent="0.3"/>
  <cols>
    <col min="1" max="1" width="23.5546875" bestFit="1" customWidth="1"/>
    <col min="2" max="2" width="20.77734375" bestFit="1" customWidth="1"/>
    <col min="3" max="3" width="13.21875" bestFit="1" customWidth="1"/>
    <col min="4" max="4" width="20.21875" bestFit="1" customWidth="1"/>
    <col min="5" max="5" width="12.5546875" bestFit="1" customWidth="1"/>
    <col min="6" max="6" width="18.44140625" bestFit="1" customWidth="1"/>
    <col min="7" max="7" width="23.5546875" bestFit="1" customWidth="1"/>
    <col min="8" max="8" width="26.21875" bestFit="1" customWidth="1"/>
    <col min="9" max="9" width="12.5546875" bestFit="1" customWidth="1"/>
    <col min="10" max="10" width="26.21875" bestFit="1" customWidth="1"/>
    <col min="11" max="11" width="13.21875" bestFit="1" customWidth="1"/>
    <col min="12" max="12" width="26.21875" bestFit="1" customWidth="1"/>
    <col min="13" max="13" width="23.5546875" bestFit="1" customWidth="1"/>
    <col min="14" max="14" width="15.5546875" bestFit="1" customWidth="1"/>
    <col min="15" max="16" width="5.5546875" bestFit="1" customWidth="1"/>
    <col min="17" max="17" width="10.5546875" bestFit="1" customWidth="1"/>
    <col min="18" max="18" width="5.6640625" bestFit="1" customWidth="1"/>
    <col min="19" max="19" width="11" bestFit="1" customWidth="1"/>
    <col min="22" max="22" width="13.88671875" bestFit="1" customWidth="1"/>
    <col min="23" max="23" width="26.88671875" bestFit="1" customWidth="1"/>
    <col min="24" max="24" width="13.88671875" bestFit="1" customWidth="1"/>
    <col min="25" max="25" width="26.88671875" bestFit="1" customWidth="1"/>
    <col min="28" max="28" width="24.6640625" bestFit="1" customWidth="1"/>
    <col min="29" max="29" width="16.77734375" bestFit="1" customWidth="1"/>
    <col min="30" max="34" width="13.33203125" bestFit="1" customWidth="1"/>
  </cols>
  <sheetData>
    <row r="1" spans="1:19" x14ac:dyDescent="0.3">
      <c r="A1" s="5" t="s">
        <v>34</v>
      </c>
      <c r="B1" s="5" t="s">
        <v>36</v>
      </c>
      <c r="C1" s="5" t="s">
        <v>34</v>
      </c>
      <c r="D1" s="5" t="s">
        <v>37</v>
      </c>
      <c r="E1" s="5" t="s">
        <v>34</v>
      </c>
      <c r="F1" s="5" t="s">
        <v>40</v>
      </c>
      <c r="G1" s="5" t="s">
        <v>34</v>
      </c>
      <c r="H1" s="5" t="s">
        <v>38</v>
      </c>
      <c r="I1" s="5" t="s">
        <v>34</v>
      </c>
      <c r="J1" s="5" t="s">
        <v>38</v>
      </c>
      <c r="K1" s="5" t="s">
        <v>34</v>
      </c>
      <c r="L1" s="5" t="s">
        <v>38</v>
      </c>
      <c r="M1" s="5" t="s">
        <v>36</v>
      </c>
      <c r="N1" s="5" t="s">
        <v>39</v>
      </c>
      <c r="O1" s="5"/>
      <c r="P1" s="5"/>
      <c r="Q1" s="5"/>
      <c r="R1" s="5"/>
      <c r="S1" s="5"/>
    </row>
    <row r="2" spans="1:19" x14ac:dyDescent="0.3">
      <c r="A2" s="4" t="s">
        <v>23</v>
      </c>
      <c r="B2" s="7">
        <v>26.193548387096776</v>
      </c>
      <c r="C2" s="4" t="s">
        <v>27</v>
      </c>
      <c r="D2" s="13">
        <v>38</v>
      </c>
      <c r="E2" s="4" t="s">
        <v>11</v>
      </c>
      <c r="F2" s="13">
        <v>139</v>
      </c>
      <c r="G2" s="4" t="s">
        <v>23</v>
      </c>
      <c r="H2" s="7">
        <v>13.458709677419352</v>
      </c>
      <c r="I2" s="4" t="s">
        <v>14</v>
      </c>
      <c r="J2" s="7">
        <v>14.32070422535211</v>
      </c>
      <c r="K2" s="4" t="s">
        <v>27</v>
      </c>
      <c r="L2" s="7">
        <v>14.472631578947366</v>
      </c>
      <c r="M2" s="5" t="s">
        <v>34</v>
      </c>
      <c r="N2" s="5" t="s">
        <v>27</v>
      </c>
      <c r="O2" s="5" t="s">
        <v>21</v>
      </c>
      <c r="P2" s="5" t="s">
        <v>15</v>
      </c>
      <c r="Q2" s="5" t="s">
        <v>22</v>
      </c>
      <c r="R2" s="5" t="s">
        <v>12</v>
      </c>
      <c r="S2" s="5" t="s">
        <v>35</v>
      </c>
    </row>
    <row r="3" spans="1:19" x14ac:dyDescent="0.3">
      <c r="A3" s="4" t="s">
        <v>25</v>
      </c>
      <c r="B3" s="7">
        <v>18.526315789473685</v>
      </c>
      <c r="C3" s="4" t="s">
        <v>21</v>
      </c>
      <c r="D3" s="13">
        <v>46</v>
      </c>
      <c r="E3" s="4" t="s">
        <v>26</v>
      </c>
      <c r="F3" s="13">
        <v>19</v>
      </c>
      <c r="G3" s="4" t="s">
        <v>25</v>
      </c>
      <c r="H3" s="7">
        <v>24.94</v>
      </c>
      <c r="I3" s="4" t="s">
        <v>32</v>
      </c>
      <c r="J3" s="7">
        <v>12.452083333333329</v>
      </c>
      <c r="K3" s="4" t="s">
        <v>21</v>
      </c>
      <c r="L3" s="7">
        <v>13.171521739130435</v>
      </c>
      <c r="M3" s="4" t="s">
        <v>23</v>
      </c>
      <c r="N3" s="7">
        <v>20.399999999999999</v>
      </c>
      <c r="O3" s="7">
        <v>28.555555555555557</v>
      </c>
      <c r="P3" s="7">
        <v>27.714285714285715</v>
      </c>
      <c r="Q3" s="7">
        <v>27.75</v>
      </c>
      <c r="R3" s="7">
        <v>24.666666666666668</v>
      </c>
      <c r="S3" s="7">
        <v>26.193548387096776</v>
      </c>
    </row>
    <row r="4" spans="1:19" x14ac:dyDescent="0.3">
      <c r="A4" s="4" t="s">
        <v>33</v>
      </c>
      <c r="B4" s="7">
        <v>28.458333333333332</v>
      </c>
      <c r="C4" s="4" t="s">
        <v>15</v>
      </c>
      <c r="D4" s="13">
        <v>44</v>
      </c>
      <c r="E4" s="4" t="s">
        <v>19</v>
      </c>
      <c r="F4" s="13">
        <v>42</v>
      </c>
      <c r="G4" s="4" t="s">
        <v>33</v>
      </c>
      <c r="H4" s="7">
        <v>13.259583333333332</v>
      </c>
      <c r="I4" s="4" t="s">
        <v>30</v>
      </c>
      <c r="J4" s="7">
        <v>16.094333333333331</v>
      </c>
      <c r="K4" s="4" t="s">
        <v>15</v>
      </c>
      <c r="L4" s="7">
        <v>14.580909090909092</v>
      </c>
      <c r="M4" s="4" t="s">
        <v>25</v>
      </c>
      <c r="N4" s="7">
        <v>21.75</v>
      </c>
      <c r="O4" s="7">
        <v>16.142857142857142</v>
      </c>
      <c r="P4" s="7">
        <v>18</v>
      </c>
      <c r="Q4" s="7">
        <v>17.5</v>
      </c>
      <c r="R4" s="7">
        <v>27</v>
      </c>
      <c r="S4" s="7">
        <v>18.526315789473685</v>
      </c>
    </row>
    <row r="5" spans="1:19" x14ac:dyDescent="0.3">
      <c r="A5" s="4" t="s">
        <v>20</v>
      </c>
      <c r="B5" s="7">
        <v>54.363636363636367</v>
      </c>
      <c r="C5" s="4" t="s">
        <v>22</v>
      </c>
      <c r="D5" s="13">
        <v>43</v>
      </c>
      <c r="E5" s="6" t="s">
        <v>35</v>
      </c>
      <c r="F5" s="14">
        <v>200</v>
      </c>
      <c r="G5" s="4" t="s">
        <v>20</v>
      </c>
      <c r="H5" s="7">
        <v>5.9409090909090905</v>
      </c>
      <c r="I5" s="4" t="s">
        <v>17</v>
      </c>
      <c r="J5" s="7">
        <v>12.01</v>
      </c>
      <c r="K5" s="4" t="s">
        <v>22</v>
      </c>
      <c r="L5" s="7">
        <v>16.114418604651163</v>
      </c>
      <c r="M5" s="4" t="s">
        <v>33</v>
      </c>
      <c r="N5" s="7">
        <v>32.75</v>
      </c>
      <c r="O5" s="7">
        <v>30.6</v>
      </c>
      <c r="P5" s="7">
        <v>32.25</v>
      </c>
      <c r="Q5" s="7">
        <v>21.6</v>
      </c>
      <c r="R5" s="7">
        <v>27</v>
      </c>
      <c r="S5" s="7">
        <v>28.458333333333332</v>
      </c>
    </row>
    <row r="6" spans="1:19" x14ac:dyDescent="0.3">
      <c r="A6" s="4" t="s">
        <v>28</v>
      </c>
      <c r="B6" s="7">
        <v>26.64516129032258</v>
      </c>
      <c r="C6" s="4" t="s">
        <v>12</v>
      </c>
      <c r="D6" s="13">
        <v>29</v>
      </c>
      <c r="G6" s="4" t="s">
        <v>28</v>
      </c>
      <c r="H6" s="7">
        <v>13.904516129032254</v>
      </c>
      <c r="I6" s="6" t="s">
        <v>35</v>
      </c>
      <c r="J6" s="8">
        <v>14.316299999999998</v>
      </c>
      <c r="K6" s="4" t="s">
        <v>12</v>
      </c>
      <c r="L6" s="7">
        <v>12.859655172413792</v>
      </c>
      <c r="M6" s="4" t="s">
        <v>20</v>
      </c>
      <c r="N6" s="7">
        <v>51.857142857142854</v>
      </c>
      <c r="O6" s="7">
        <v>55.8</v>
      </c>
      <c r="P6" s="7">
        <v>74.5</v>
      </c>
      <c r="Q6" s="7">
        <v>40</v>
      </c>
      <c r="R6" s="7">
        <v>57</v>
      </c>
      <c r="S6" s="7">
        <v>54.363636363636367</v>
      </c>
    </row>
    <row r="7" spans="1:19" x14ac:dyDescent="0.3">
      <c r="A7" s="4" t="s">
        <v>18</v>
      </c>
      <c r="B7" s="7">
        <v>49.4</v>
      </c>
      <c r="C7" s="6" t="s">
        <v>35</v>
      </c>
      <c r="D7" s="14">
        <v>200</v>
      </c>
      <c r="G7" s="4" t="s">
        <v>18</v>
      </c>
      <c r="H7" s="7">
        <v>12.420000000000002</v>
      </c>
      <c r="K7" s="6" t="s">
        <v>35</v>
      </c>
      <c r="L7" s="8">
        <v>14.316299999999995</v>
      </c>
      <c r="M7" s="4" t="s">
        <v>28</v>
      </c>
      <c r="N7" s="7">
        <v>24.166666666666668</v>
      </c>
      <c r="O7" s="7">
        <v>28</v>
      </c>
      <c r="P7" s="7">
        <v>30.375</v>
      </c>
      <c r="Q7" s="7">
        <v>23.555555555555557</v>
      </c>
      <c r="R7" s="7">
        <v>30</v>
      </c>
      <c r="S7" s="7">
        <v>26.64516129032258</v>
      </c>
    </row>
    <row r="8" spans="1:19" x14ac:dyDescent="0.3">
      <c r="A8" s="4" t="s">
        <v>10</v>
      </c>
      <c r="B8" s="7">
        <v>23.4</v>
      </c>
      <c r="G8" s="4" t="s">
        <v>10</v>
      </c>
      <c r="H8" s="7">
        <v>16.710666666666665</v>
      </c>
      <c r="M8" s="4" t="s">
        <v>18</v>
      </c>
      <c r="N8" s="7">
        <v>42</v>
      </c>
      <c r="O8" s="7">
        <v>57.75</v>
      </c>
      <c r="P8" s="7">
        <v>40.666666666666664</v>
      </c>
      <c r="Q8" s="7">
        <v>50</v>
      </c>
      <c r="R8" s="7">
        <v>60.5</v>
      </c>
      <c r="S8" s="7">
        <v>49.4</v>
      </c>
    </row>
    <row r="9" spans="1:19" x14ac:dyDescent="0.3">
      <c r="A9" s="4" t="s">
        <v>31</v>
      </c>
      <c r="B9" s="7">
        <v>25.826086956521738</v>
      </c>
      <c r="G9" s="4" t="s">
        <v>31</v>
      </c>
      <c r="H9" s="7">
        <v>14.890869565217391</v>
      </c>
      <c r="M9" s="4" t="s">
        <v>10</v>
      </c>
      <c r="N9" s="7">
        <v>25.666666666666668</v>
      </c>
      <c r="O9" s="7">
        <v>23.5</v>
      </c>
      <c r="P9" s="7">
        <v>22.777777777777779</v>
      </c>
      <c r="Q9" s="7">
        <v>24.375</v>
      </c>
      <c r="R9" s="7">
        <v>18</v>
      </c>
      <c r="S9" s="7">
        <v>23.4</v>
      </c>
    </row>
    <row r="10" spans="1:19" x14ac:dyDescent="0.3">
      <c r="A10" s="6" t="s">
        <v>35</v>
      </c>
      <c r="B10" s="8">
        <v>30.765000000000001</v>
      </c>
      <c r="G10" s="6" t="s">
        <v>35</v>
      </c>
      <c r="H10" s="8">
        <v>14.316299999999991</v>
      </c>
      <c r="M10" s="4" t="s">
        <v>31</v>
      </c>
      <c r="N10" s="7">
        <v>18.8</v>
      </c>
      <c r="O10" s="7">
        <v>20.6</v>
      </c>
      <c r="P10" s="7">
        <v>26.333333333333332</v>
      </c>
      <c r="Q10" s="7">
        <v>36.6</v>
      </c>
      <c r="R10" s="7">
        <v>27</v>
      </c>
      <c r="S10" s="7">
        <v>25.826086956521738</v>
      </c>
    </row>
    <row r="11" spans="1:19" x14ac:dyDescent="0.3">
      <c r="M11" s="6" t="s">
        <v>35</v>
      </c>
      <c r="N11" s="8">
        <v>29.421052631578949</v>
      </c>
      <c r="O11" s="8">
        <v>31</v>
      </c>
      <c r="P11" s="8">
        <v>30.295454545454547</v>
      </c>
      <c r="Q11" s="8">
        <v>30.558139534883722</v>
      </c>
      <c r="R11" s="8">
        <v>33.172413793103445</v>
      </c>
      <c r="S11" s="8">
        <v>30.765000000000001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Traffic_Data</vt:lpstr>
      <vt:lpstr>Pivot_Summary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Akshit Mishra</cp:lastModifiedBy>
  <cp:lastPrinted>2026-10-05T17:30:02Z</cp:lastPrinted>
  <dcterms:created xsi:type="dcterms:W3CDTF">2026-10-01T02:06:35Z</dcterms:created>
  <dcterms:modified xsi:type="dcterms:W3CDTF">2026-10-08T13:24:43Z</dcterms:modified>
</cp:coreProperties>
</file>